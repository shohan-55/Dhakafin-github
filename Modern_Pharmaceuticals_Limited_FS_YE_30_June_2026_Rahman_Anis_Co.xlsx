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ReadMe" sheetId="1" state="visible" r:id="rId1"/>
    <sheet name="01_Cover" sheetId="2" state="visible" r:id="rId2"/>
    <sheet name="02_Contents" sheetId="3" state="visible" r:id="rId3"/>
    <sheet name="03_Auditors_Report" sheetId="4" state="visible" r:id="rId4"/>
    <sheet name="04_SOFP" sheetId="5" state="visible" r:id="rId5"/>
    <sheet name="05_SOPL" sheetId="6" state="visible" r:id="rId6"/>
    <sheet name="06_SOCIE" sheetId="7" state="visible" r:id="rId7"/>
    <sheet name="07_SOCF" sheetId="8" state="visible" r:id="rId8"/>
    <sheet name="08_Notes_Policies" sheetId="9" state="visible" r:id="rId9"/>
    <sheet name="09_Notes_SOFP" sheetId="10" state="visible" r:id="rId10"/>
    <sheet name="10_Notes_PL" sheetId="11" state="visible" r:id="rId11"/>
    <sheet name="11_Notes_Other" sheetId="12" state="visible" r:id="rId12"/>
    <sheet name="12_PPE_Schedule" sheetId="13" state="visible" r:id="rId13"/>
    <sheet name="13_COGS_Factory" sheetId="14" state="visible" r:id="rId14"/>
    <sheet name="14_Admin_Selling" sheetId="15" state="visible" r:id="rId15"/>
    <sheet name="15_Tax_WPPF" sheetId="16" state="visible" r:id="rId16"/>
    <sheet name="16_Balance_Check" sheetId="17" state="visible" r:id="rId17"/>
  </sheets>
  <definedNames>
    <definedName name="_xlnm.Print_Titles" localSheetId="0">'00_ReadMe'!$1:$8</definedName>
    <definedName name="_xlnm.Print_Area" localSheetId="0">'00_ReadMe'!$A$1:$E$54</definedName>
    <definedName name="_xlnm.Print_Titles" localSheetId="1">'01_Cover'!$1:$8</definedName>
    <definedName name="_xlnm.Print_Area" localSheetId="1">'01_Cover'!$A$1:$G$47</definedName>
    <definedName name="_xlnm.Print_Titles" localSheetId="2">'02_Contents'!$1:$8</definedName>
    <definedName name="_xlnm.Print_Area" localSheetId="2">'02_Contents'!$A$1:$D$43</definedName>
    <definedName name="_xlnm.Print_Titles" localSheetId="3">'03_Auditors_Report'!$1:$8</definedName>
    <definedName name="_xlnm.Print_Area" localSheetId="3">'03_Auditors_Report'!$A$1:$B$35</definedName>
    <definedName name="_xlnm.Print_Titles" localSheetId="4">'04_SOFP'!$1:$8</definedName>
    <definedName name="_xlnm.Print_Area" localSheetId="4">'04_SOFP'!$A$1:$D$70</definedName>
    <definedName name="_xlnm.Print_Titles" localSheetId="5">'05_SOPL'!$1:$8</definedName>
    <definedName name="_xlnm.Print_Area" localSheetId="5">'05_SOPL'!$A$1:$D$43</definedName>
    <definedName name="_xlnm.Print_Titles" localSheetId="6">'06_SOCIE'!$1:$8</definedName>
    <definedName name="_xlnm.Print_Area" localSheetId="6">'06_SOCIE'!$A$1:$F$39</definedName>
    <definedName name="_xlnm.Print_Titles" localSheetId="7">'07_SOCF'!$1:$8</definedName>
    <definedName name="_xlnm.Print_Area" localSheetId="7">'07_SOCF'!$A$1:$D$67</definedName>
    <definedName name="_xlnm.Print_Titles" localSheetId="8">'08_Notes_Policies'!$1:$8</definedName>
    <definedName name="_xlnm.Print_Area" localSheetId="8">'08_Notes_Policies'!$A$1:$B$70</definedName>
    <definedName name="_xlnm.Print_Titles" localSheetId="9">'09_Notes_SOFP'!$1:$8</definedName>
    <definedName name="_xlnm.Print_Area" localSheetId="9">'09_Notes_SOFP'!$A$1:$D$116</definedName>
    <definedName name="_xlnm.Print_Titles" localSheetId="10">'10_Notes_PL'!$1:$8</definedName>
    <definedName name="_xlnm.Print_Area" localSheetId="10">'10_Notes_PL'!$A$1:$D$46</definedName>
    <definedName name="_xlnm.Print_Titles" localSheetId="11">'11_Notes_Other'!$1:$8</definedName>
    <definedName name="_xlnm.Print_Area" localSheetId="11">'11_Notes_Other'!$A$1:$E$47</definedName>
    <definedName name="_xlnm.Print_Titles" localSheetId="12">'12_PPE_Schedule'!$1:$8</definedName>
    <definedName name="_xlnm.Print_Area" localSheetId="12">'12_PPE_Schedule'!$A$1:$J$50</definedName>
    <definedName name="_xlnm.Print_Titles" localSheetId="13">'13_COGS_Factory'!$1:$8</definedName>
    <definedName name="_xlnm.Print_Area" localSheetId="13">'13_COGS_Factory'!$A$1:$D$49</definedName>
    <definedName name="_xlnm.Print_Titles" localSheetId="14">'14_Admin_Selling'!$1:$8</definedName>
    <definedName name="_xlnm.Print_Area" localSheetId="14">'14_Admin_Selling'!$A$1:$D$53</definedName>
    <definedName name="_xlnm.Print_Titles" localSheetId="15">'15_Tax_WPPF'!$1:$8</definedName>
    <definedName name="_xlnm.Print_Area" localSheetId="15">'15_Tax_WPPF'!$A$1:$D$47</definedName>
    <definedName name="_xlnm.Print_Titles" localSheetId="16">'16_Balance_Check'!$1:$8</definedName>
    <definedName name="_xlnm.Print_Area" localSheetId="16">'16_Balance_Check'!$A$1:$D$27</definedName>
  </definedNames>
  <calcPr calcId="124519" fullCalcOnLoad="1"/>
</workbook>
</file>

<file path=xl/styles.xml><?xml version="1.0" encoding="utf-8"?>
<styleSheet xmlns="http://schemas.openxmlformats.org/spreadsheetml/2006/main">
  <numFmts count="2">
    <numFmt numFmtId="164" formatCode="#,##0;(#,##0);&quot;-&quot;"/>
    <numFmt numFmtId="165" formatCode="#,##0.00;(#,##0.00);&quot;-&quot;"/>
  </numFmts>
  <fonts count="19">
    <font>
      <name val="Calibri"/>
      <family val="2"/>
      <color theme="1"/>
      <sz val="11"/>
      <scheme val="minor"/>
    </font>
    <font>
      <name val="Times New Roman"/>
      <b val="1"/>
      <color rgb="001B365D"/>
      <sz val="18"/>
    </font>
    <font>
      <name val="Times New Roman"/>
      <b val="1"/>
      <color rgb="001B365D"/>
      <sz val="13"/>
    </font>
    <font>
      <name val="Times New Roman"/>
      <i val="1"/>
      <color rgb="004A4A4A"/>
      <sz val="12"/>
    </font>
    <font>
      <name val="Times New Roman"/>
      <sz val="11"/>
    </font>
    <font>
      <name val="Times New Roman"/>
      <b val="1"/>
      <color rgb="00FFFFFF"/>
      <sz val="11"/>
    </font>
    <font>
      <name val="Times New Roman"/>
      <b val="1"/>
      <sz val="11"/>
    </font>
    <font>
      <name val="Times New Roman"/>
      <i val="1"/>
      <sz val="10"/>
    </font>
    <font>
      <name val="Times New Roman"/>
      <b val="1"/>
      <color rgb="001B365D"/>
      <sz val="26"/>
    </font>
    <font>
      <name val="Times New Roman"/>
      <b val="1"/>
      <color rgb="00C4A35A"/>
      <sz val="14"/>
    </font>
    <font>
      <name val="Times New Roman"/>
      <sz val="10"/>
    </font>
    <font>
      <name val="Times New Roman"/>
      <b val="1"/>
      <color rgb="001B365D"/>
      <sz val="16"/>
    </font>
    <font>
      <name val="Times New Roman"/>
      <b val="1"/>
      <color rgb="001B365D"/>
      <sz val="20"/>
    </font>
    <font>
      <name val="Times New Roman"/>
      <i val="1"/>
      <sz val="14"/>
    </font>
    <font>
      <name val="Times New Roman"/>
      <b val="1"/>
      <color rgb="001B365D"/>
      <sz val="10"/>
    </font>
    <font>
      <name val="Times New Roman"/>
      <b val="1"/>
      <color rgb="001B365D"/>
      <sz val="12"/>
    </font>
    <font>
      <name val="Times New Roman"/>
      <i val="1"/>
      <color rgb="00C0392B"/>
      <sz val="10"/>
    </font>
    <font>
      <name val="Times New Roman"/>
      <b val="1"/>
      <color rgb="00FFFFFF"/>
      <sz val="9"/>
    </font>
    <font>
      <name val="Times New Roman"/>
      <b val="1"/>
      <color rgb="00FFFFFF"/>
      <sz val="12"/>
    </font>
  </fonts>
  <fills count="15">
    <fill>
      <patternFill/>
    </fill>
    <fill>
      <patternFill patternType="gray125"/>
    </fill>
    <fill>
      <patternFill patternType="solid">
        <fgColor rgb="00FCE4D6"/>
      </patternFill>
    </fill>
    <fill>
      <patternFill patternType="solid">
        <fgColor rgb="001B365D"/>
      </patternFill>
    </fill>
    <fill>
      <patternFill patternType="solid">
        <fgColor rgb="00FFFFFF"/>
      </patternFill>
    </fill>
    <fill>
      <patternFill patternType="solid">
        <fgColor rgb="00F7F5F0"/>
      </patternFill>
    </fill>
    <fill>
      <patternFill patternType="solid">
        <fgColor rgb="00F2F2F2"/>
      </patternFill>
    </fill>
    <fill>
      <patternFill patternType="solid">
        <fgColor rgb="00C4A35A"/>
      </patternFill>
    </fill>
    <fill>
      <patternFill patternType="solid">
        <fgColor rgb="00FFF2CC"/>
      </patternFill>
    </fill>
    <fill>
      <patternFill patternType="solid">
        <fgColor rgb="00D6EAF8"/>
      </patternFill>
    </fill>
    <fill>
      <patternFill patternType="solid">
        <fgColor rgb="00E8EEF4"/>
      </patternFill>
    </fill>
    <fill>
      <patternFill patternType="solid">
        <fgColor rgb="00E2EFDA"/>
      </patternFill>
    </fill>
    <fill>
      <patternFill patternType="solid">
        <fgColor rgb="007A5C12"/>
      </patternFill>
    </fill>
    <fill>
      <patternFill patternType="solid">
        <fgColor rgb="001A5276"/>
      </patternFill>
    </fill>
    <fill>
      <patternFill patternType="solid">
        <fgColor rgb="00922B21"/>
      </patternFill>
    </fill>
  </fills>
  <borders count="5">
    <border>
      <left/>
      <right/>
      <top/>
      <bottom/>
      <diagonal/>
    </border>
    <border>
      <left style="thin">
        <color rgb="008A8A8A"/>
      </left>
      <right style="thin">
        <color rgb="008A8A8A"/>
      </right>
      <top style="thin">
        <color rgb="008A8A8A"/>
      </top>
      <bottom style="thin">
        <color rgb="008A8A8A"/>
      </bottom>
    </border>
    <border>
      <bottom style="medium">
        <color rgb="00C4A35A"/>
      </bottom>
    </border>
    <border/>
    <border>
      <left style="thin">
        <color rgb="008A8A8A"/>
      </left>
      <right style="thin">
        <color rgb="008A8A8A"/>
      </right>
      <top style="thin">
        <color rgb="00000000"/>
      </top>
      <bottom style="thin">
        <color rgb="00000000"/>
      </bottom>
    </border>
  </borders>
  <cellStyleXfs count="1">
    <xf numFmtId="0" fontId="0" fillId="0" borderId="0"/>
  </cellStyleXfs>
  <cellXfs count="96">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2" fillId="0" borderId="0" pivotButton="0" quotePrefix="0" xfId="0"/>
    <xf numFmtId="0" fontId="4" fillId="2" borderId="0" applyAlignment="1" pivotButton="0" quotePrefix="0" xfId="0">
      <alignment horizontal="left" vertical="top" wrapText="1"/>
    </xf>
    <xf numFmtId="0" fontId="5"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0" borderId="0" applyAlignment="1" pivotButton="0" quotePrefix="0" xfId="0">
      <alignment horizontal="left" vertical="center" wrapText="1"/>
    </xf>
    <xf numFmtId="0" fontId="6" fillId="6" borderId="1" pivotButton="0" quotePrefix="0" xfId="0"/>
    <xf numFmtId="0" fontId="4" fillId="0" borderId="1" pivotButton="0" quotePrefix="0" xfId="0"/>
    <xf numFmtId="0" fontId="7" fillId="0" borderId="0" applyAlignment="1" pivotButton="0" quotePrefix="0" xfId="0">
      <alignment horizontal="left" vertical="top" wrapText="1"/>
    </xf>
    <xf numFmtId="0" fontId="0" fillId="3" borderId="0" pivotButton="0" quotePrefix="0" xfId="0"/>
    <xf numFmtId="0" fontId="0" fillId="4" borderId="0" pivotButton="0" quotePrefix="0" xfId="0"/>
    <xf numFmtId="0" fontId="8" fillId="4" borderId="0" applyAlignment="1" pivotButton="0" quotePrefix="0" xfId="0">
      <alignment horizontal="center" vertical="center" wrapText="1"/>
    </xf>
    <xf numFmtId="0" fontId="9" fillId="4" borderId="0" applyAlignment="1" pivotButton="0" quotePrefix="0" xfId="0">
      <alignment horizontal="center" vertical="center" wrapText="1"/>
    </xf>
    <xf numFmtId="0" fontId="10" fillId="4" borderId="0" applyAlignment="1" pivotButton="0" quotePrefix="0" xfId="0">
      <alignment horizontal="center" vertical="center" wrapText="1"/>
    </xf>
    <xf numFmtId="0" fontId="0" fillId="7" borderId="2" pivotButton="0" quotePrefix="0" xfId="0"/>
    <xf numFmtId="0" fontId="11" fillId="4" borderId="0" applyAlignment="1" pivotButton="0" quotePrefix="0" xfId="0">
      <alignment horizontal="center" vertical="center" wrapText="1"/>
    </xf>
    <xf numFmtId="0" fontId="4" fillId="4" borderId="0" applyAlignment="1" pivotButton="0" quotePrefix="0" xfId="0">
      <alignment horizontal="center" vertical="center" wrapText="1"/>
    </xf>
    <xf numFmtId="0" fontId="12" fillId="4" borderId="0" applyAlignment="1" pivotButton="0" quotePrefix="0" xfId="0">
      <alignment horizontal="center" vertical="center" wrapText="1"/>
    </xf>
    <xf numFmtId="0" fontId="13" fillId="4" borderId="0" applyAlignment="1" pivotButton="0" quotePrefix="0" xfId="0">
      <alignment horizontal="center" vertical="center" wrapText="1"/>
    </xf>
    <xf numFmtId="0" fontId="6" fillId="5" borderId="1" pivotButton="0" quotePrefix="0" xfId="0"/>
    <xf numFmtId="0" fontId="4" fillId="4" borderId="1" pivotButton="0" quotePrefix="0" xfId="0"/>
    <xf numFmtId="0" fontId="4" fillId="8" borderId="1" pivotButton="0" quotePrefix="0" xfId="0"/>
    <xf numFmtId="0" fontId="7" fillId="2" borderId="0" applyAlignment="1" pivotButton="0" quotePrefix="0" xfId="0">
      <alignment horizontal="left" vertical="top" wrapText="1"/>
    </xf>
    <xf numFmtId="0" fontId="14" fillId="4" borderId="0" applyAlignment="1" pivotButton="0" quotePrefix="0" xfId="0">
      <alignment horizontal="center" vertical="center" wrapText="1"/>
    </xf>
    <xf numFmtId="0" fontId="11"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0" fillId="0" borderId="2" pivotButton="0" quotePrefix="0" xfId="0"/>
    <xf numFmtId="0" fontId="4" fillId="0" borderId="1" applyAlignment="1" pivotButton="0" quotePrefix="0" xfId="0">
      <alignment horizontal="center" vertical="center" wrapText="1"/>
    </xf>
    <xf numFmtId="0" fontId="4" fillId="5" borderId="1" pivotButton="0" quotePrefix="0" xfId="0"/>
    <xf numFmtId="0" fontId="15" fillId="0" borderId="0" pivotButton="0" quotePrefix="0" xfId="0"/>
    <xf numFmtId="0" fontId="10" fillId="0" borderId="0" pivotButton="0" quotePrefix="0" xfId="0"/>
    <xf numFmtId="0" fontId="15" fillId="5" borderId="0" pivotButton="0" quotePrefix="0" xfId="0"/>
    <xf numFmtId="0" fontId="4" fillId="0" borderId="0" applyAlignment="1" pivotButton="0" quotePrefix="0" xfId="0">
      <alignment horizontal="left" vertical="top" wrapText="1"/>
    </xf>
    <xf numFmtId="0" fontId="4" fillId="0" borderId="0" pivotButton="0" quotePrefix="0" xfId="0"/>
    <xf numFmtId="0" fontId="6" fillId="0" borderId="0" pivotButton="0" quotePrefix="0" xfId="0"/>
    <xf numFmtId="0" fontId="16" fillId="0" borderId="0" applyAlignment="1" pivotButton="0" quotePrefix="0" xfId="0">
      <alignment horizontal="left" vertical="center" wrapText="1"/>
    </xf>
    <xf numFmtId="0" fontId="5"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3" borderId="1" applyAlignment="1" pivotButton="0" quotePrefix="0" xfId="0">
      <alignment horizontal="left" vertical="center" wrapText="1"/>
    </xf>
    <xf numFmtId="0" fontId="4" fillId="3" borderId="1" applyAlignment="1" pivotButton="0" quotePrefix="0" xfId="0">
      <alignment horizontal="center" vertical="center" wrapText="1"/>
    </xf>
    <xf numFmtId="0" fontId="0" fillId="3" borderId="1" pivotButton="0" quotePrefix="0" xfId="0"/>
    <xf numFmtId="0" fontId="6" fillId="5" borderId="1" applyAlignment="1" pivotButton="0" quotePrefix="0" xfId="0">
      <alignment horizontal="left" vertical="center" wrapText="1"/>
    </xf>
    <xf numFmtId="0" fontId="0" fillId="5" borderId="1" pivotButton="0" quotePrefix="0" xfId="0"/>
    <xf numFmtId="0" fontId="4" fillId="0" borderId="1" applyAlignment="1" pivotButton="0" quotePrefix="0" xfId="0">
      <alignment horizontal="left" vertical="center" wrapText="1" indent="1"/>
    </xf>
    <xf numFmtId="164" fontId="6" fillId="11" borderId="1" applyAlignment="1" pivotButton="0" quotePrefix="0" xfId="0">
      <alignment horizontal="right" vertical="center"/>
    </xf>
    <xf numFmtId="164" fontId="4" fillId="11" borderId="1" applyAlignment="1" pivotButton="0" quotePrefix="0" xfId="0">
      <alignment horizontal="right" vertical="center"/>
    </xf>
    <xf numFmtId="0" fontId="6" fillId="10" borderId="1" applyAlignment="1" pivotButton="0" quotePrefix="0" xfId="0">
      <alignment horizontal="left" vertical="center" wrapText="1"/>
    </xf>
    <xf numFmtId="0" fontId="4" fillId="10" borderId="1" applyAlignment="1" pivotButton="0" quotePrefix="0" xfId="0">
      <alignment horizontal="center" vertical="center" wrapText="1"/>
    </xf>
    <xf numFmtId="164" fontId="6" fillId="10" borderId="4" applyAlignment="1" pivotButton="0" quotePrefix="0" xfId="0">
      <alignment horizontal="right" vertical="center"/>
    </xf>
    <xf numFmtId="164" fontId="5" fillId="3" borderId="1" applyAlignment="1" pivotButton="0" quotePrefix="0" xfId="0">
      <alignment horizontal="right" vertical="center"/>
    </xf>
    <xf numFmtId="0" fontId="0" fillId="0" borderId="3" applyAlignment="1" pivotButton="0" quotePrefix="0" xfId="0">
      <alignment horizontal="left" vertical="center" wrapText="1"/>
    </xf>
    <xf numFmtId="0" fontId="4" fillId="0" borderId="3" applyAlignment="1" pivotButton="0" quotePrefix="0" xfId="0">
      <alignment horizontal="center" vertical="center" wrapText="1"/>
    </xf>
    <xf numFmtId="164" fontId="6" fillId="2" borderId="1" applyAlignment="1" pivotButton="0" quotePrefix="0" xfId="0">
      <alignment horizontal="right" vertical="center"/>
    </xf>
    <xf numFmtId="0" fontId="7"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4" fillId="0" borderId="1" applyAlignment="1" pivotButton="0" quotePrefix="0" xfId="0">
      <alignment horizontal="left" vertical="center" wrapText="1"/>
    </xf>
    <xf numFmtId="164" fontId="4" fillId="8" borderId="1" applyAlignment="1" pivotButton="0" quotePrefix="0" xfId="0">
      <alignment horizontal="right" vertical="center"/>
    </xf>
    <xf numFmtId="164" fontId="4" fillId="9" borderId="1" applyAlignment="1" pivotButton="0" quotePrefix="0" xfId="0">
      <alignment horizontal="right" vertical="center"/>
    </xf>
    <xf numFmtId="165" fontId="6" fillId="11" borderId="1" applyAlignment="1" pivotButton="0" quotePrefix="0" xfId="0">
      <alignment horizontal="right" vertical="center"/>
    </xf>
    <xf numFmtId="164" fontId="6" fillId="10" borderId="1" applyAlignment="1" pivotButton="0" quotePrefix="0" xfId="0">
      <alignment horizontal="right" vertical="center"/>
    </xf>
    <xf numFmtId="164" fontId="6" fillId="9" borderId="1" applyAlignment="1" pivotButton="0" quotePrefix="0" xfId="0">
      <alignment horizontal="right" vertical="center"/>
    </xf>
    <xf numFmtId="0" fontId="5" fillId="3" borderId="1" pivotButton="0" quotePrefix="0" xfId="0"/>
    <xf numFmtId="164" fontId="5" fillId="7" borderId="1" applyAlignment="1" pivotButton="0" quotePrefix="0" xfId="0">
      <alignment horizontal="right" vertical="center"/>
    </xf>
    <xf numFmtId="0" fontId="7" fillId="0" borderId="0" pivotButton="0" quotePrefix="0" xfId="0"/>
    <xf numFmtId="164" fontId="5" fillId="2" borderId="1" applyAlignment="1" pivotButton="0" quotePrefix="0" xfId="0">
      <alignment horizontal="right" vertical="center"/>
    </xf>
    <xf numFmtId="0" fontId="4" fillId="0" borderId="0" applyAlignment="1" pivotButton="0" quotePrefix="0" xfId="0">
      <alignment vertical="top" wrapText="1"/>
    </xf>
    <xf numFmtId="0" fontId="7" fillId="0" borderId="1" applyAlignment="1" pivotButton="0" quotePrefix="0" xfId="0">
      <alignment horizontal="left" vertical="top" wrapText="1"/>
    </xf>
    <xf numFmtId="165" fontId="5" fillId="3" borderId="1" applyAlignment="1" pivotButton="0" quotePrefix="0" xfId="0">
      <alignment horizontal="right" vertical="center"/>
    </xf>
    <xf numFmtId="0" fontId="0" fillId="5" borderId="0" pivotButton="0" quotePrefix="0" xfId="0"/>
    <xf numFmtId="0" fontId="0" fillId="8" borderId="1" pivotButton="0" quotePrefix="0" xfId="0"/>
    <xf numFmtId="3" fontId="4" fillId="8" borderId="1" applyAlignment="1" pivotButton="0" quotePrefix="0" xfId="0">
      <alignment horizontal="right" vertical="center"/>
    </xf>
    <xf numFmtId="3" fontId="4" fillId="9" borderId="1" applyAlignment="1" pivotButton="0" quotePrefix="0" xfId="0">
      <alignment horizontal="right" vertical="center"/>
    </xf>
    <xf numFmtId="0" fontId="10" fillId="0" borderId="0" applyAlignment="1" pivotButton="0" quotePrefix="0" xfId="0">
      <alignment horizontal="left" vertical="top" wrapText="1"/>
    </xf>
    <xf numFmtId="0" fontId="4" fillId="8" borderId="0" applyAlignment="1" pivotButton="0" quotePrefix="0" xfId="0">
      <alignment horizontal="left" vertical="top" wrapText="1"/>
    </xf>
    <xf numFmtId="0" fontId="17" fillId="3"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0" borderId="1" pivotButton="0" quotePrefix="0" xfId="0"/>
    <xf numFmtId="0" fontId="6" fillId="7" borderId="1" pivotButton="0" quotePrefix="0" xfId="0"/>
    <xf numFmtId="0" fontId="6" fillId="9" borderId="1" pivotButton="0" quotePrefix="0" xfId="0"/>
    <xf numFmtId="0" fontId="5" fillId="3" borderId="0" pivotButton="0" quotePrefix="0" xfId="0"/>
    <xf numFmtId="0" fontId="10" fillId="0" borderId="1" pivotButton="0" quotePrefix="0" xfId="0"/>
    <xf numFmtId="0" fontId="10" fillId="8" borderId="1" pivotButton="0" quotePrefix="0" xfId="0"/>
    <xf numFmtId="0" fontId="6" fillId="10" borderId="1" applyAlignment="1" pivotButton="0" quotePrefix="0" xfId="0">
      <alignment horizontal="left" vertical="center" wrapText="1" indent="1"/>
    </xf>
    <xf numFmtId="10" fontId="4" fillId="8" borderId="1" applyAlignment="1" pivotButton="0" quotePrefix="0" xfId="0">
      <alignment horizontal="right" vertical="center"/>
    </xf>
    <xf numFmtId="10" fontId="4" fillId="9" borderId="1" applyAlignment="1" pivotButton="0" quotePrefix="0" xfId="0">
      <alignment horizontal="right" vertical="center"/>
    </xf>
    <xf numFmtId="164" fontId="6" fillId="2" borderId="1" applyAlignment="1" pivotButton="0" quotePrefix="0" xfId="0">
      <alignment horizontal="right"/>
    </xf>
    <xf numFmtId="0" fontId="1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18" fillId="14"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omments/comment1.xml><?xml version="1.0" encoding="utf-8"?>
<comments xmlns="http://schemas.openxmlformats.org/spreadsheetml/2006/main">
  <authors>
    <author>Rahman Anis &amp; Co.</author>
  </authors>
  <commentList>
    <comment ref="C26" authorId="0" shapeId="0">
      <text>
        <t>INK — 30 June 2026 amount ekhane boshan. Cell khali rekhe audit complete korun.</t>
      </text>
    </comment>
    <comment ref="D26" authorId="0" shapeId="0">
      <text>
        <t>Last year audited (30 June 2025) comparative. Last year FS PDF attach na howay figure auto-boshano hoy nai — audited 2025 figure ekhane din.</t>
      </text>
    </comment>
  </commentList>
</comments>
</file>

<file path=xl/comments/comment2.xml><?xml version="1.0" encoding="utf-8"?>
<comments xmlns="http://schemas.openxmlformats.org/spreadsheetml/2006/main">
  <authors>
    <author>Rahman Anis &amp; Co.</author>
  </authors>
  <commentList>
    <comment ref="B10" authorId="0" shapeId="0">
      <text>
        <t>Last year audited (30 June 2025) comparative. Last year FS PDF attach na howay figure auto-boshano hoy nai — audited 2025 figure ekhane din.</t>
      </text>
    </comment>
    <comment ref="C10" authorId="0" shapeId="0">
      <text>
        <t>Last year audited (30 June 2025) comparative. Last year FS PDF attach na howay figure auto-boshano hoy nai — audited 2025 figure ekhane din.</t>
      </text>
    </comment>
    <comment ref="D10" authorId="0" shapeId="0">
      <text>
        <t>Last year audited (30 June 2025) comparative. Last year FS PDF attach na howay figure auto-boshano hoy nai — audited 2025 figure ekhane din.</t>
      </text>
    </comment>
    <comment ref="E10" authorId="0" shapeId="0">
      <text>
        <t>Last year audited (30 June 2025) comparative. Last year FS PDF attach na howay figure auto-boshano hoy nai — audited 2025 figure ekhane din.</t>
      </text>
    </comment>
    <comment ref="B12" authorId="0" shapeId="0">
      <text>
        <t>Last year audited (30 June 2025) comparative. Last year FS PDF attach na howay figure auto-boshano hoy nai — audited 2025 figure ekhane din.</t>
      </text>
    </comment>
    <comment ref="C12" authorId="0" shapeId="0">
      <text>
        <t>Last year audited (30 June 2025) comparative. Last year FS PDF attach na howay figure auto-boshano hoy nai — audited 2025 figure ekhane din.</t>
      </text>
    </comment>
    <comment ref="D12" authorId="0" shapeId="0">
      <text>
        <t>Last year audited (30 June 2025) comparative. Last year FS PDF attach na howay figure auto-boshano hoy nai — audited 2025 figure ekhane din.</t>
      </text>
    </comment>
    <comment ref="B13" authorId="0" shapeId="0">
      <text>
        <t>Last year audited (30 June 2025) comparative. Last year FS PDF attach na howay figure auto-boshano hoy nai — audited 2025 figure ekhane din.</t>
      </text>
    </comment>
    <comment ref="C13" authorId="0" shapeId="0">
      <text>
        <t>Last year audited (30 June 2025) comparative. Last year FS PDF attach na howay figure auto-boshano hoy nai — audited 2025 figure ekhane din.</t>
      </text>
    </comment>
    <comment ref="D13" authorId="0" shapeId="0">
      <text>
        <t>Last year audited (30 June 2025) comparative. Last year FS PDF attach na howay figure auto-boshano hoy nai — audited 2025 figure ekhane din.</t>
      </text>
    </comment>
    <comment ref="E13" authorId="0" shapeId="0">
      <text>
        <t>Last year audited (30 June 2025) comparative. Last year FS PDF attach na howay figure auto-boshano hoy nai — audited 2025 figure ekhane din.</t>
      </text>
    </comment>
    <comment ref="B18" authorId="0" shapeId="0">
      <text>
        <t>INK — 30 June 2026 amount ekhane boshan. Cell khali rekhe audit complete korun.</t>
      </text>
    </comment>
    <comment ref="C18" authorId="0" shapeId="0">
      <text>
        <t>INK — 30 June 2026 amount ekhane boshan. Cell khali rekhe audit complete korun.</t>
      </text>
    </comment>
    <comment ref="D18" authorId="0" shapeId="0">
      <text>
        <t>INK — 30 June 2026 amount ekhane boshan. Cell khali rekhe audit complete korun.</t>
      </text>
    </comment>
    <comment ref="B19" authorId="0" shapeId="0">
      <text>
        <t>INK — 30 June 2026 amount ekhane boshan. Cell khali rekhe audit complete korun.</t>
      </text>
    </comment>
    <comment ref="C19" authorId="0" shapeId="0">
      <text>
        <t>INK — 30 June 2026 amount ekhane boshan. Cell khali rekhe audit complete korun.</t>
      </text>
    </comment>
    <comment ref="D19" authorId="0" shapeId="0">
      <text>
        <t>INK — 30 June 2026 amount ekhane boshan. Cell khali rekhe audit complete korun.</t>
      </text>
    </comment>
    <comment ref="E19" authorId="0" shapeId="0">
      <text>
        <t>INK — 30 June 2026 amount ekhane boshan. Cell khali rekhe audit complete korun.</t>
      </text>
    </comment>
    <comment ref="B20" authorId="0" shapeId="0">
      <text>
        <t>INK — 30 June 2026 amount ekhane boshan. Cell khali rekhe audit complete korun.</t>
      </text>
    </comment>
    <comment ref="C20" authorId="0" shapeId="0">
      <text>
        <t>INK — 30 June 2026 amount ekhane boshan. Cell khali rekhe audit complete korun.</t>
      </text>
    </comment>
    <comment ref="D20" authorId="0" shapeId="0">
      <text>
        <t>INK — 30 June 2026 amount ekhane boshan. Cell khali rekhe audit complete korun.</t>
      </text>
    </comment>
    <comment ref="E20" authorId="0" shapeId="0">
      <text>
        <t>INK — 30 June 2026 amount ekhane boshan. Cell khali rekhe audit complete korun.</t>
      </text>
    </comment>
  </commentList>
</comments>
</file>

<file path=xl/comments/comment3.xml><?xml version="1.0" encoding="utf-8"?>
<comments xmlns="http://schemas.openxmlformats.org/spreadsheetml/2006/main">
  <authors>
    <author>Rahman Anis &amp; Co.</author>
  </authors>
  <commentList>
    <comment ref="D13" authorId="0" shapeId="0">
      <text>
        <t>Last year audited (30 June 2025) comparative. Last year FS PDF attach na howay figure auto-boshano hoy nai — audited 2025 figure ekhane din.</t>
      </text>
    </comment>
    <comment ref="D18" authorId="0" shapeId="0">
      <text>
        <t>Last year audited (30 June 2025) comparative. Last year FS PDF attach na howay figure auto-boshano hoy nai — audited 2025 figure ekhane din.</t>
      </text>
    </comment>
    <comment ref="D22" authorId="0" shapeId="0">
      <text>
        <t>Last year audited (30 June 2025) comparative. Last year FS PDF attach na howay figure auto-boshano hoy nai — audited 2025 figure ekhane din.</t>
      </text>
    </comment>
    <comment ref="D23" authorId="0" shapeId="0">
      <text>
        <t>Last year audited (30 June 2025) comparative. Last year FS PDF attach na howay figure auto-boshano hoy nai — audited 2025 figure ekhane din.</t>
      </text>
    </comment>
    <comment ref="D24" authorId="0" shapeId="0">
      <text>
        <t>Last year audited (30 June 2025) comparative. Last year FS PDF attach na howay figure auto-boshano hoy nai — audited 2025 figure ekhane din.</t>
      </text>
    </comment>
    <comment ref="D25" authorId="0" shapeId="0">
      <text>
        <t>Last year audited (30 June 2025) comparative. Last year FS PDF attach na howay figure auto-boshano hoy nai — audited 2025 figure ekhane din.</t>
      </text>
    </comment>
    <comment ref="D26" authorId="0" shapeId="0">
      <text>
        <t>Last year audited (30 June 2025) comparative. Last year FS PDF attach na howay figure auto-boshano hoy nai — audited 2025 figure ekhane din.</t>
      </text>
    </comment>
    <comment ref="C28" authorId="0" shapeId="0">
      <text>
        <t>INK — 30 June 2026 amount ekhane boshan. Cell khali rekhe audit complete korun.</t>
      </text>
    </comment>
    <comment ref="D28" authorId="0" shapeId="0">
      <text>
        <t>Last year audited (30 June 2025) comparative. Last year FS PDF attach na howay figure auto-boshano hoy nai — audited 2025 figure ekhane din.</t>
      </text>
    </comment>
    <comment ref="C29" authorId="0" shapeId="0">
      <text>
        <t>INK — 30 June 2026 amount ekhane boshan. Cell khali rekhe audit complete korun.</t>
      </text>
    </comment>
    <comment ref="D29" authorId="0" shapeId="0">
      <text>
        <t>Last year audited (30 June 2025) comparative. Last year FS PDF attach na howay figure auto-boshano hoy nai — audited 2025 figure ekhane din.</t>
      </text>
    </comment>
    <comment ref="D34" authorId="0" shapeId="0">
      <text>
        <t>Last year audited (30 June 2025) comparative. Last year FS PDF attach na howay figure auto-boshano hoy nai — audited 2025 figure ekhane din.</t>
      </text>
    </comment>
    <comment ref="D37" authorId="0" shapeId="0">
      <text>
        <t>Last year audited (30 June 2025) comparative. Last year FS PDF attach na howay figure auto-boshano hoy nai — audited 2025 figure ekhane din.</t>
      </text>
    </comment>
    <comment ref="C38" authorId="0" shapeId="0">
      <text>
        <t>INK — 30 June 2026 amount ekhane boshan. Cell khali rekhe audit complete korun.</t>
      </text>
    </comment>
    <comment ref="D38" authorId="0" shapeId="0">
      <text>
        <t>Last year audited (30 June 2025) comparative. Last year FS PDF attach na howay figure auto-boshano hoy nai — audited 2025 figure ekhane din.</t>
      </text>
    </comment>
    <comment ref="C39" authorId="0" shapeId="0">
      <text>
        <t>INK — 30 June 2026 amount ekhane boshan. Cell khali rekhe audit complete korun.</t>
      </text>
    </comment>
    <comment ref="D39" authorId="0" shapeId="0">
      <text>
        <t>Last year audited (30 June 2025) comparative. Last year FS PDF attach na howay figure auto-boshano hoy nai — audited 2025 figure ekhane din.</t>
      </text>
    </comment>
    <comment ref="C43" authorId="0" shapeId="0">
      <text>
        <t>INK — 30 June 2026 amount ekhane boshan. Cell khali rekhe audit complete korun.</t>
      </text>
    </comment>
    <comment ref="D43" authorId="0" shapeId="0">
      <text>
        <t>Last year audited (30 June 2025) comparative. Last year FS PDF attach na howay figure auto-boshano hoy nai — audited 2025 figure ekhane din.</t>
      </text>
    </comment>
    <comment ref="D44" authorId="0" shapeId="0">
      <text>
        <t>Last year audited (30 June 2025) comparative. Last year FS PDF attach na howay figure auto-boshano hoy nai — audited 2025 figure ekhane din.</t>
      </text>
    </comment>
    <comment ref="C45" authorId="0" shapeId="0">
      <text>
        <t>INK — 30 June 2026 amount ekhane boshan. Cell khali rekhe audit complete korun.</t>
      </text>
    </comment>
    <comment ref="D45" authorId="0" shapeId="0">
      <text>
        <t>Last year audited (30 June 2025) comparative. Last year FS PDF attach na howay figure auto-boshano hoy nai — audited 2025 figure ekhane din.</t>
      </text>
    </comment>
    <comment ref="D46" authorId="0" shapeId="0">
      <text>
        <t>Last year audited (30 June 2025) comparative. Last year FS PDF attach na howay figure auto-boshano hoy nai — audited 2025 figure ekhane din.</t>
      </text>
    </comment>
    <comment ref="C47" authorId="0" shapeId="0">
      <text>
        <t>INK — 30 June 2026 amount ekhane boshan. Cell khali rekhe audit complete korun.</t>
      </text>
    </comment>
    <comment ref="D47" authorId="0" shapeId="0">
      <text>
        <t>Last year audited (30 June 2025) comparative. Last year FS PDF attach na howay figure auto-boshano hoy nai — audited 2025 figure ekhane din.</t>
      </text>
    </comment>
    <comment ref="D51" authorId="0" shapeId="0">
      <text>
        <t>Last year audited (30 June 2025) comparative. Last year FS PDF attach na howay figure auto-boshano hoy nai — audited 2025 figure ekhane din.</t>
      </text>
    </comment>
  </commentList>
</comments>
</file>

<file path=xl/comments/comment4.xml><?xml version="1.0" encoding="utf-8"?>
<comments xmlns="http://schemas.openxmlformats.org/spreadsheetml/2006/main">
  <authors>
    <author>Rahman Anis &amp; Co.</author>
  </authors>
  <commentList>
    <comment ref="C13" authorId="0" shapeId="0">
      <text>
        <t>INK — 30 June 2026 amount ekhane boshan. Cell khali rekhe audit complete korun.</t>
      </text>
    </comment>
    <comment ref="D13" authorId="0" shapeId="0">
      <text>
        <t>Last year audited (30 June 2025) comparative. Last year FS PDF attach na howay figure auto-boshano hoy nai — audited 2025 figure ekhane din.</t>
      </text>
    </comment>
    <comment ref="C14" authorId="0" shapeId="0">
      <text>
        <t>INK — 30 June 2026 amount ekhane boshan. Cell khali rekhe audit complete korun.</t>
      </text>
    </comment>
    <comment ref="D14" authorId="0" shapeId="0">
      <text>
        <t>Last year audited (30 June 2025) comparative. Last year FS PDF attach na howay figure auto-boshano hoy nai — audited 2025 figure ekhane din.</t>
      </text>
    </comment>
    <comment ref="C15" authorId="0" shapeId="0">
      <text>
        <t>INK — 30 June 2026 amount ekhane boshan. Cell khali rekhe audit complete korun.</t>
      </text>
    </comment>
    <comment ref="D15" authorId="0" shapeId="0">
      <text>
        <t>Last year audited (30 June 2025) comparative. Last year FS PDF attach na howay figure auto-boshano hoy nai — audited 2025 figure ekhane din.</t>
      </text>
    </comment>
    <comment ref="C18" authorId="0" shapeId="0">
      <text>
        <t>INK — 30 June 2026 amount ekhane boshan. Cell khali rekhe audit complete korun.</t>
      </text>
    </comment>
    <comment ref="D18" authorId="0" shapeId="0">
      <text>
        <t>Last year audited (30 June 2025) comparative. Last year FS PDF attach na howay figure auto-boshano hoy nai — audited 2025 figure ekhane din.</t>
      </text>
    </comment>
    <comment ref="C19" authorId="0" shapeId="0">
      <text>
        <t>INK — 30 June 2026 amount ekhane boshan. Cell khali rekhe audit complete korun.</t>
      </text>
    </comment>
    <comment ref="D19" authorId="0" shapeId="0">
      <text>
        <t>Last year audited (30 June 2025) comparative. Last year FS PDF attach na howay figure auto-boshano hoy nai — audited 2025 figure ekhane din.</t>
      </text>
    </comment>
    <comment ref="C20" authorId="0" shapeId="0">
      <text>
        <t>INK — 30 June 2026 amount ekhane boshan. Cell khali rekhe audit complete korun.</t>
      </text>
    </comment>
    <comment ref="D20" authorId="0" shapeId="0">
      <text>
        <t>Last year audited (30 June 2025) comparative. Last year FS PDF attach na howay figure auto-boshano hoy nai — audited 2025 figure ekhane din.</t>
      </text>
    </comment>
    <comment ref="C23" authorId="0" shapeId="0">
      <text>
        <t>INK — 30 June 2026 amount ekhane boshan. Cell khali rekhe audit complete korun.</t>
      </text>
    </comment>
    <comment ref="D23" authorId="0" shapeId="0">
      <text>
        <t>Last year audited (30 June 2025) comparative. Last year FS PDF attach na howay figure auto-boshano hoy nai — audited 2025 figure ekhane din.</t>
      </text>
    </comment>
    <comment ref="C24" authorId="0" shapeId="0">
      <text>
        <t>INK — 30 June 2026 amount ekhane boshan. Cell khali rekhe audit complete korun.</t>
      </text>
    </comment>
    <comment ref="D24" authorId="0" shapeId="0">
      <text>
        <t>Last year audited (30 June 2025) comparative. Last year FS PDF attach na howay figure auto-boshano hoy nai — audited 2025 figure ekhane din.</t>
      </text>
    </comment>
    <comment ref="C25" authorId="0" shapeId="0">
      <text>
        <t>INK — 30 June 2026 amount ekhane boshan. Cell khali rekhe audit complete korun.</t>
      </text>
    </comment>
    <comment ref="D25" authorId="0" shapeId="0">
      <text>
        <t>Last year audited (30 June 2025) comparative. Last year FS PDF attach na howay figure auto-boshano hoy nai — audited 2025 figure ekhane din.</t>
      </text>
    </comment>
    <comment ref="C30" authorId="0" shapeId="0">
      <text>
        <t>INK — 30 June 2026 amount ekhane boshan. Cell khali rekhe audit complete korun.</t>
      </text>
    </comment>
    <comment ref="D30" authorId="0" shapeId="0">
      <text>
        <t>Last year audited (30 June 2025) comparative. Last year FS PDF attach na howay figure auto-boshano hoy nai — audited 2025 figure ekhane din.</t>
      </text>
    </comment>
    <comment ref="C31" authorId="0" shapeId="0">
      <text>
        <t>INK — 30 June 2026 amount ekhane boshan. Cell khali rekhe audit complete korun.</t>
      </text>
    </comment>
    <comment ref="D31" authorId="0" shapeId="0">
      <text>
        <t>Last year audited (30 June 2025) comparative. Last year FS PDF attach na howay figure auto-boshano hoy nai — audited 2025 figure ekhane din.</t>
      </text>
    </comment>
    <comment ref="C32" authorId="0" shapeId="0">
      <text>
        <t>INK — 30 June 2026 amount ekhane boshan. Cell khali rekhe audit complete korun.</t>
      </text>
    </comment>
    <comment ref="D32" authorId="0" shapeId="0">
      <text>
        <t>Last year audited (30 June 2025) comparative. Last year FS PDF attach na howay figure auto-boshano hoy nai — audited 2025 figure ekhane din.</t>
      </text>
    </comment>
    <comment ref="C33" authorId="0" shapeId="0">
      <text>
        <t>INK — 30 June 2026 amount ekhane boshan. Cell khali rekhe audit complete korun.</t>
      </text>
    </comment>
    <comment ref="D33" authorId="0" shapeId="0">
      <text>
        <t>Last year audited (30 June 2025) comparative. Last year FS PDF attach na howay figure auto-boshano hoy nai — audited 2025 figure ekhane din.</t>
      </text>
    </comment>
    <comment ref="C34" authorId="0" shapeId="0">
      <text>
        <t>INK — 30 June 2026 amount ekhane boshan. Cell khali rekhe audit complete korun.</t>
      </text>
    </comment>
    <comment ref="D34" authorId="0" shapeId="0">
      <text>
        <t>Last year audited (30 June 2025) comparative. Last year FS PDF attach na howay figure auto-boshano hoy nai — audited 2025 figure ekhane din.</t>
      </text>
    </comment>
    <comment ref="C35" authorId="0" shapeId="0">
      <text>
        <t>INK — 30 June 2026 amount ekhane boshan. Cell khali rekhe audit complete korun.</t>
      </text>
    </comment>
    <comment ref="D35" authorId="0" shapeId="0">
      <text>
        <t>Last year audited (30 June 2025) comparative. Last year FS PDF attach na howay figure auto-boshano hoy nai — audited 2025 figure ekhane din.</t>
      </text>
    </comment>
    <comment ref="C40" authorId="0" shapeId="0">
      <text>
        <t>INK — 30 June 2026 amount ekhane boshan. Cell khali rekhe audit complete korun.</t>
      </text>
    </comment>
    <comment ref="D40" authorId="0" shapeId="0">
      <text>
        <t>Last year audited (30 June 2025) comparative. Last year FS PDF attach na howay figure auto-boshano hoy nai — audited 2025 figure ekhane din.</t>
      </text>
    </comment>
    <comment ref="C41" authorId="0" shapeId="0">
      <text>
        <t>INK — 30 June 2026 amount ekhane boshan. Cell khali rekhe audit complete korun.</t>
      </text>
    </comment>
    <comment ref="D41" authorId="0" shapeId="0">
      <text>
        <t>Last year audited (30 June 2025) comparative. Last year FS PDF attach na howay figure auto-boshano hoy nai — audited 2025 figure ekhane din.</t>
      </text>
    </comment>
    <comment ref="C42" authorId="0" shapeId="0">
      <text>
        <t>INK — 30 June 2026 amount ekhane boshan. Cell khali rekhe audit complete korun.</t>
      </text>
    </comment>
    <comment ref="D42" authorId="0" shapeId="0">
      <text>
        <t>Last year audited (30 June 2025) comparative. Last year FS PDF attach na howay figure auto-boshano hoy nai — audited 2025 figure ekhane din.</t>
      </text>
    </comment>
    <comment ref="C43" authorId="0" shapeId="0">
      <text>
        <t>INK — 30 June 2026 amount ekhane boshan. Cell khali rekhe audit complete korun.</t>
      </text>
    </comment>
    <comment ref="D43" authorId="0" shapeId="0">
      <text>
        <t>Last year audited (30 June 2025) comparative. Last year FS PDF attach na howay figure auto-boshano hoy nai — audited 2025 figure ekhane din.</t>
      </text>
    </comment>
    <comment ref="C46" authorId="0" shapeId="0">
      <text>
        <t>INK — 30 June 2026 amount ekhane boshan. Cell khali rekhe audit complete korun.</t>
      </text>
    </comment>
    <comment ref="D46" authorId="0" shapeId="0">
      <text>
        <t>Last year audited (30 June 2025) comparative. Last year FS PDF attach na howay figure auto-boshano hoy nai — audited 2025 figure ekhane din.</t>
      </text>
    </comment>
    <comment ref="C47" authorId="0" shapeId="0">
      <text>
        <t>INK — 30 June 2026 amount ekhane boshan. Cell khali rekhe audit complete korun.</t>
      </text>
    </comment>
    <comment ref="D47" authorId="0" shapeId="0">
      <text>
        <t>Last year audited (30 June 2025) comparative. Last year FS PDF attach na howay figure auto-boshano hoy nai — audited 2025 figure ekhane din.</t>
      </text>
    </comment>
    <comment ref="C48" authorId="0" shapeId="0">
      <text>
        <t>INK — 30 June 2026 amount ekhane boshan. Cell khali rekhe audit complete korun.</t>
      </text>
    </comment>
    <comment ref="D48" authorId="0" shapeId="0">
      <text>
        <t>Last year audited (30 June 2025) comparative. Last year FS PDF attach na howay figure auto-boshano hoy nai — audited 2025 figure ekhane din.</t>
      </text>
    </comment>
    <comment ref="C49" authorId="0" shapeId="0">
      <text>
        <t>INK — 30 June 2026 amount ekhane boshan. Cell khali rekhe audit complete korun.</t>
      </text>
    </comment>
    <comment ref="D49" authorId="0" shapeId="0">
      <text>
        <t>Last year audited (30 June 2025) comparative. Last year FS PDF attach na howay figure auto-boshano hoy nai — audited 2025 figure ekhane din.</t>
      </text>
    </comment>
    <comment ref="C50" authorId="0" shapeId="0">
      <text>
        <t>INK — 30 June 2026 amount ekhane boshan. Cell khali rekhe audit complete korun.</t>
      </text>
    </comment>
    <comment ref="D50" authorId="0" shapeId="0">
      <text>
        <t>Last year audited (30 June 2025) comparative. Last year FS PDF attach na howay figure auto-boshano hoy nai — audited 2025 figure ekhane din.</t>
      </text>
    </comment>
    <comment ref="C51" authorId="0" shapeId="0">
      <text>
        <t>INK — 30 June 2026 amount ekhane boshan. Cell khali rekhe audit complete korun.</t>
      </text>
    </comment>
    <comment ref="D51" authorId="0" shapeId="0">
      <text>
        <t>Last year audited (30 June 2025) comparative. Last year FS PDF attach na howay figure auto-boshano hoy nai — audited 2025 figure ekhane din.</t>
      </text>
    </comment>
    <comment ref="C52" authorId="0" shapeId="0">
      <text>
        <t>INK — 30 June 2026 amount ekhane boshan. Cell khali rekhe audit complete korun.</t>
      </text>
    </comment>
    <comment ref="D52" authorId="0" shapeId="0">
      <text>
        <t>Last year audited (30 June 2025) comparative. Last year FS PDF attach na howay figure auto-boshano hoy nai — audited 2025 figure ekhane din.</t>
      </text>
    </comment>
    <comment ref="C55" authorId="0" shapeId="0">
      <text>
        <t>INK — 30 June 2026 amount ekhane boshan. Cell khali rekhe audit complete korun.</t>
      </text>
    </comment>
    <comment ref="D55" authorId="0" shapeId="0">
      <text>
        <t>Last year audited (30 June 2025) comparative. Last year FS PDF attach na howay figure auto-boshano hoy nai — audited 2025 figure ekhane din.</t>
      </text>
    </comment>
    <comment ref="C56" authorId="0" shapeId="0">
      <text>
        <t>INK — 30 June 2026 amount ekhane boshan. Cell khali rekhe audit complete korun.</t>
      </text>
    </comment>
    <comment ref="D56" authorId="0" shapeId="0">
      <text>
        <t>Last year audited (30 June 2025) comparative. Last year FS PDF attach na howay figure auto-boshano hoy nai — audited 2025 figure ekhane din.</t>
      </text>
    </comment>
    <comment ref="C57" authorId="0" shapeId="0">
      <text>
        <t>INK — 30 June 2026 amount ekhane boshan. Cell khali rekhe audit complete korun.</t>
      </text>
    </comment>
    <comment ref="D57" authorId="0" shapeId="0">
      <text>
        <t>Last year audited (30 June 2025) comparative. Last year FS PDF attach na howay figure auto-boshano hoy nai — audited 2025 figure ekhane din.</t>
      </text>
    </comment>
    <comment ref="C60" authorId="0" shapeId="0">
      <text>
        <t>INK — 30 June 2026 amount ekhane boshan. Cell khali rekhe audit complete korun.</t>
      </text>
    </comment>
    <comment ref="D60" authorId="0" shapeId="0">
      <text>
        <t>Last year audited (30 June 2025) comparative. Last year FS PDF attach na howay figure auto-boshano hoy nai — audited 2025 figure ekhane din.</t>
      </text>
    </comment>
    <comment ref="C61" authorId="0" shapeId="0">
      <text>
        <t>INK — 30 June 2026 amount ekhane boshan. Cell khali rekhe audit complete korun.</t>
      </text>
    </comment>
    <comment ref="D61" authorId="0" shapeId="0">
      <text>
        <t>Last year audited (30 June 2025) comparative. Last year FS PDF attach na howay figure auto-boshano hoy nai — audited 2025 figure ekhane din.</t>
      </text>
    </comment>
    <comment ref="C62" authorId="0" shapeId="0">
      <text>
        <t>INK — 30 June 2026 amount ekhane boshan. Cell khali rekhe audit complete korun.</t>
      </text>
    </comment>
    <comment ref="D62" authorId="0" shapeId="0">
      <text>
        <t>Last year audited (30 June 2025) comparative. Last year FS PDF attach na howay figure auto-boshano hoy nai — audited 2025 figure ekhane din.</t>
      </text>
    </comment>
    <comment ref="C63" authorId="0" shapeId="0">
      <text>
        <t>INK — 30 June 2026 amount ekhane boshan. Cell khali rekhe audit complete korun.</t>
      </text>
    </comment>
    <comment ref="D63" authorId="0" shapeId="0">
      <text>
        <t>Last year audited (30 June 2025) comparative. Last year FS PDF attach na howay figure auto-boshano hoy nai — audited 2025 figure ekhane din.</t>
      </text>
    </comment>
    <comment ref="C64" authorId="0" shapeId="0">
      <text>
        <t>INK — 30 June 2026 amount ekhane boshan. Cell khali rekhe audit complete korun.</t>
      </text>
    </comment>
    <comment ref="D64" authorId="0" shapeId="0">
      <text>
        <t>Last year audited (30 June 2025) comparative. Last year FS PDF attach na howay figure auto-boshano hoy nai — audited 2025 figure ekhane din.</t>
      </text>
    </comment>
    <comment ref="C67" authorId="0" shapeId="0">
      <text>
        <t>INK — 30 June 2026 amount ekhane boshan. Cell khali rekhe audit complete korun.</t>
      </text>
    </comment>
    <comment ref="D67" authorId="0" shapeId="0">
      <text>
        <t>Last year audited (30 June 2025) comparative. Last year FS PDF attach na howay figure auto-boshano hoy nai — audited 2025 figure ekhane din.</t>
      </text>
    </comment>
    <comment ref="C68" authorId="0" shapeId="0">
      <text>
        <t>INK — 30 June 2026 amount ekhane boshan. Cell khali rekhe audit complete korun.</t>
      </text>
    </comment>
    <comment ref="D68" authorId="0" shapeId="0">
      <text>
        <t>Last year audited (30 June 2025) comparative. Last year FS PDF attach na howay figure auto-boshano hoy nai — audited 2025 figure ekhane din.</t>
      </text>
    </comment>
    <comment ref="C69" authorId="0" shapeId="0">
      <text>
        <t>INK — 30 June 2026 amount ekhane boshan. Cell khali rekhe audit complete korun.</t>
      </text>
    </comment>
    <comment ref="D69" authorId="0" shapeId="0">
      <text>
        <t>Last year audited (30 June 2025) comparative. Last year FS PDF attach na howay figure auto-boshano hoy nai — audited 2025 figure ekhane din.</t>
      </text>
    </comment>
    <comment ref="C71" authorId="0" shapeId="0">
      <text>
        <t>INK — 30 June 2026 amount ekhane boshan. Cell khali rekhe audit complete korun.</t>
      </text>
    </comment>
    <comment ref="D71" authorId="0" shapeId="0">
      <text>
        <t>Last year audited (30 June 2025) comparative. Last year FS PDF attach na howay figure auto-boshano hoy nai — audited 2025 figure ekhane din.</t>
      </text>
    </comment>
    <comment ref="C72" authorId="0" shapeId="0">
      <text>
        <t>INK — 30 June 2026 amount ekhane boshan. Cell khali rekhe audit complete korun.</t>
      </text>
    </comment>
    <comment ref="D72" authorId="0" shapeId="0">
      <text>
        <t>Last year audited (30 June 2025) comparative. Last year FS PDF attach na howay figure auto-boshano hoy nai — audited 2025 figure ekhane din.</t>
      </text>
    </comment>
    <comment ref="C73" authorId="0" shapeId="0">
      <text>
        <t>INK — 30 June 2026 amount ekhane boshan. Cell khali rekhe audit complete korun.</t>
      </text>
    </comment>
    <comment ref="D73" authorId="0" shapeId="0">
      <text>
        <t>Last year audited (30 June 2025) comparative. Last year FS PDF attach na howay figure auto-boshano hoy nai — audited 2025 figure ekhane din.</t>
      </text>
    </comment>
    <comment ref="C74" authorId="0" shapeId="0">
      <text>
        <t>INK — 30 June 2026 amount ekhane boshan. Cell khali rekhe audit complete korun.</t>
      </text>
    </comment>
    <comment ref="D74" authorId="0" shapeId="0">
      <text>
        <t>Last year audited (30 June 2025) comparative. Last year FS PDF attach na howay figure auto-boshano hoy nai — audited 2025 figure ekhane din.</t>
      </text>
    </comment>
    <comment ref="C75" authorId="0" shapeId="0">
      <text>
        <t>INK — 30 June 2026 amount ekhane boshan. Cell khali rekhe audit complete korun.</t>
      </text>
    </comment>
    <comment ref="D75" authorId="0" shapeId="0">
      <text>
        <t>Last year audited (30 June 2025) comparative. Last year FS PDF attach na howay figure auto-boshano hoy nai — audited 2025 figure ekhane din.</t>
      </text>
    </comment>
    <comment ref="D77" authorId="0" shapeId="0">
      <text>
        <t>Last year audited (30 June 2025) comparative. Last year FS PDF attach na howay figure auto-boshano hoy nai — audited 2025 figure ekhane din.</t>
      </text>
    </comment>
    <comment ref="C79" authorId="0" shapeId="0">
      <text>
        <t>INK — 30 June 2026 amount ekhane boshan. Cell khali rekhe audit complete korun.</t>
      </text>
    </comment>
    <comment ref="D79" authorId="0" shapeId="0">
      <text>
        <t>Last year audited (30 June 2025) comparative. Last year FS PDF attach na howay figure auto-boshano hoy nai — audited 2025 figure ekhane din.</t>
      </text>
    </comment>
    <comment ref="C80" authorId="0" shapeId="0">
      <text>
        <t>INK — 30 June 2026 amount ekhane boshan. Cell khali rekhe audit complete korun.</t>
      </text>
    </comment>
    <comment ref="D80" authorId="0" shapeId="0">
      <text>
        <t>Last year audited (30 June 2025) comparative. Last year FS PDF attach na howay figure auto-boshano hoy nai — audited 2025 figure ekhane din.</t>
      </text>
    </comment>
    <comment ref="C83" authorId="0" shapeId="0">
      <text>
        <t>INK — 30 June 2026 amount ekhane boshan. Cell khali rekhe audit complete korun.</t>
      </text>
    </comment>
    <comment ref="D83" authorId="0" shapeId="0">
      <text>
        <t>Last year audited (30 June 2025) comparative. Last year FS PDF attach na howay figure auto-boshano hoy nai — audited 2025 figure ekhane din.</t>
      </text>
    </comment>
    <comment ref="C84" authorId="0" shapeId="0">
      <text>
        <t>INK — 30 June 2026 amount ekhane boshan. Cell khali rekhe audit complete korun.</t>
      </text>
    </comment>
    <comment ref="D84" authorId="0" shapeId="0">
      <text>
        <t>Last year audited (30 June 2025) comparative. Last year FS PDF attach na howay figure auto-boshano hoy nai — audited 2025 figure ekhane din.</t>
      </text>
    </comment>
    <comment ref="C87" authorId="0" shapeId="0">
      <text>
        <t>INK — 30 June 2026 amount ekhane boshan. Cell khali rekhe audit complete korun.</t>
      </text>
    </comment>
    <comment ref="D87" authorId="0" shapeId="0">
      <text>
        <t>Last year audited (30 June 2025) comparative. Last year FS PDF attach na howay figure auto-boshano hoy nai — audited 2025 figure ekhane din.</t>
      </text>
    </comment>
    <comment ref="C88" authorId="0" shapeId="0">
      <text>
        <t>INK — 30 June 2026 amount ekhane boshan. Cell khali rekhe audit complete korun.</t>
      </text>
    </comment>
    <comment ref="D88" authorId="0" shapeId="0">
      <text>
        <t>Last year audited (30 June 2025) comparative. Last year FS PDF attach na howay figure auto-boshano hoy nai — audited 2025 figure ekhane din.</t>
      </text>
    </comment>
    <comment ref="C89" authorId="0" shapeId="0">
      <text>
        <t>INK — 30 June 2026 amount ekhane boshan. Cell khali rekhe audit complete korun.</t>
      </text>
    </comment>
    <comment ref="D89" authorId="0" shapeId="0">
      <text>
        <t>Last year audited (30 June 2025) comparative. Last year FS PDF attach na howay figure auto-boshano hoy nai — audited 2025 figure ekhane din.</t>
      </text>
    </comment>
    <comment ref="C90" authorId="0" shapeId="0">
      <text>
        <t>INK — 30 June 2026 amount ekhane boshan. Cell khali rekhe audit complete korun.</t>
      </text>
    </comment>
    <comment ref="D90" authorId="0" shapeId="0">
      <text>
        <t>Last year audited (30 June 2025) comparative. Last year FS PDF attach na howay figure auto-boshano hoy nai — audited 2025 figure ekhane din.</t>
      </text>
    </comment>
    <comment ref="C93" authorId="0" shapeId="0">
      <text>
        <t>INK — 30 June 2026 amount ekhane boshan. Cell khali rekhe audit complete korun.</t>
      </text>
    </comment>
    <comment ref="D93" authorId="0" shapeId="0">
      <text>
        <t>Last year audited (30 June 2025) comparative. Last year FS PDF attach na howay figure auto-boshano hoy nai — audited 2025 figure ekhane din.</t>
      </text>
    </comment>
    <comment ref="C94" authorId="0" shapeId="0">
      <text>
        <t>INK — 30 June 2026 amount ekhane boshan. Cell khali rekhe audit complete korun.</t>
      </text>
    </comment>
    <comment ref="D94" authorId="0" shapeId="0">
      <text>
        <t>Last year audited (30 June 2025) comparative. Last year FS PDF attach na howay figure auto-boshano hoy nai — audited 2025 figure ekhane din.</t>
      </text>
    </comment>
    <comment ref="C95" authorId="0" shapeId="0">
      <text>
        <t>INK — 30 June 2026 amount ekhane boshan. Cell khali rekhe audit complete korun.</t>
      </text>
    </comment>
    <comment ref="D95" authorId="0" shapeId="0">
      <text>
        <t>Last year audited (30 June 2025) comparative. Last year FS PDF attach na howay figure auto-boshano hoy nai — audited 2025 figure ekhane din.</t>
      </text>
    </comment>
    <comment ref="C100" authorId="0" shapeId="0">
      <text>
        <t>INK — 30 June 2026 amount ekhane boshan. Cell khali rekhe audit complete korun.</t>
      </text>
    </comment>
    <comment ref="D100" authorId="0" shapeId="0">
      <text>
        <t>Last year audited (30 June 2025) comparative. Last year FS PDF attach na howay figure auto-boshano hoy nai — audited 2025 figure ekhane din.</t>
      </text>
    </comment>
    <comment ref="C101" authorId="0" shapeId="0">
      <text>
        <t>INK — 30 June 2026 amount ekhane boshan. Cell khali rekhe audit complete korun.</t>
      </text>
    </comment>
    <comment ref="D101" authorId="0" shapeId="0">
      <text>
        <t>Last year audited (30 June 2025) comparative. Last year FS PDF attach na howay figure auto-boshano hoy nai — audited 2025 figure ekhane din.</t>
      </text>
    </comment>
    <comment ref="C102" authorId="0" shapeId="0">
      <text>
        <t>INK — 30 June 2026 amount ekhane boshan. Cell khali rekhe audit complete korun.</t>
      </text>
    </comment>
    <comment ref="D102" authorId="0" shapeId="0">
      <text>
        <t>Last year audited (30 June 2025) comparative. Last year FS PDF attach na howay figure auto-boshano hoy nai — audited 2025 figure ekhane din.</t>
      </text>
    </comment>
    <comment ref="C103" authorId="0" shapeId="0">
      <text>
        <t>INK — 30 June 2026 amount ekhane boshan. Cell khali rekhe audit complete korun.</t>
      </text>
    </comment>
    <comment ref="D103" authorId="0" shapeId="0">
      <text>
        <t>Last year audited (30 June 2025) comparative. Last year FS PDF attach na howay figure auto-boshano hoy nai — audited 2025 figure ekhane din.</t>
      </text>
    </comment>
    <comment ref="C104" authorId="0" shapeId="0">
      <text>
        <t>INK — 30 June 2026 amount ekhane boshan. Cell khali rekhe audit complete korun.</t>
      </text>
    </comment>
    <comment ref="D104" authorId="0" shapeId="0">
      <text>
        <t>Last year audited (30 June 2025) comparative. Last year FS PDF attach na howay figure auto-boshano hoy nai — audited 2025 figure ekhane din.</t>
      </text>
    </comment>
    <comment ref="C105" authorId="0" shapeId="0">
      <text>
        <t>INK — 30 June 2026 amount ekhane boshan. Cell khali rekhe audit complete korun.</t>
      </text>
    </comment>
    <comment ref="D105" authorId="0" shapeId="0">
      <text>
        <t>Last year audited (30 June 2025) comparative. Last year FS PDF attach na howay figure auto-boshano hoy nai — audited 2025 figure ekhane din.</t>
      </text>
    </comment>
    <comment ref="C106" authorId="0" shapeId="0">
      <text>
        <t>INK — 30 June 2026 amount ekhane boshan. Cell khali rekhe audit complete korun.</t>
      </text>
    </comment>
    <comment ref="D106" authorId="0" shapeId="0">
      <text>
        <t>Last year audited (30 June 2025) comparative. Last year FS PDF attach na howay figure auto-boshano hoy nai — audited 2025 figure ekhane din.</t>
      </text>
    </comment>
    <comment ref="C107" authorId="0" shapeId="0">
      <text>
        <t>INK — 30 June 2026 amount ekhane boshan. Cell khali rekhe audit complete korun.</t>
      </text>
    </comment>
    <comment ref="D107" authorId="0" shapeId="0">
      <text>
        <t>Last year audited (30 June 2025) comparative. Last year FS PDF attach na howay figure auto-boshano hoy nai — audited 2025 figure ekhane din.</t>
      </text>
    </comment>
    <comment ref="C108" authorId="0" shapeId="0">
      <text>
        <t>INK — 30 June 2026 amount ekhane boshan. Cell khali rekhe audit complete korun.</t>
      </text>
    </comment>
    <comment ref="D108" authorId="0" shapeId="0">
      <text>
        <t>Last year audited (30 June 2025) comparative. Last year FS PDF attach na howay figure auto-boshano hoy nai — audited 2025 figure ekhane din.</t>
      </text>
    </comment>
    <comment ref="C115" authorId="0" shapeId="0">
      <text>
        <t>INK — 30 June 2026 amount ekhane boshan. Cell khali rekhe audit complete korun.</t>
      </text>
    </comment>
    <comment ref="D115" authorId="0" shapeId="0">
      <text>
        <t>Last year audited (30 June 2025) comparative. Last year FS PDF attach na howay figure auto-boshano hoy nai — audited 2025 figure ekhane din.</t>
      </text>
    </comment>
    <comment ref="C116" authorId="0" shapeId="0">
      <text>
        <t>INK — 30 June 2026 amount ekhane boshan. Cell khali rekhe audit complete korun.</t>
      </text>
    </comment>
    <comment ref="D116" authorId="0" shapeId="0">
      <text>
        <t>Last year audited (30 June 2025) comparative. Last year FS PDF attach na howay figure auto-boshano hoy nai — audited 2025 figure ekhane din.</t>
      </text>
    </comment>
  </commentList>
</comments>
</file>

<file path=xl/comments/comment5.xml><?xml version="1.0" encoding="utf-8"?>
<comments xmlns="http://schemas.openxmlformats.org/spreadsheetml/2006/main">
  <authors>
    <author>Rahman Anis &amp; Co.</author>
  </authors>
  <commentList>
    <comment ref="C11" authorId="0" shapeId="0">
      <text>
        <t>INK — 30 June 2026 amount ekhane boshan. Cell khali rekhe audit complete korun.</t>
      </text>
    </comment>
    <comment ref="D11" authorId="0" shapeId="0">
      <text>
        <t>Last year audited (30 June 2025) comparative. Last year FS PDF attach na howay figure auto-boshano hoy nai — audited 2025 figure ekhane din.</t>
      </text>
    </comment>
    <comment ref="C12" authorId="0" shapeId="0">
      <text>
        <t>INK — 30 June 2026 amount ekhane boshan. Cell khali rekhe audit complete korun.</t>
      </text>
    </comment>
    <comment ref="D12" authorId="0" shapeId="0">
      <text>
        <t>Last year audited (30 June 2025) comparative. Last year FS PDF attach na howay figure auto-boshano hoy nai — audited 2025 figure ekhane din.</t>
      </text>
    </comment>
    <comment ref="C13" authorId="0" shapeId="0">
      <text>
        <t>INK — 30 June 2026 amount ekhane boshan. Cell khali rekhe audit complete korun.</t>
      </text>
    </comment>
    <comment ref="D13" authorId="0" shapeId="0">
      <text>
        <t>Last year audited (30 June 2025) comparative. Last year FS PDF attach na howay figure auto-boshano hoy nai — audited 2025 figure ekhane din.</t>
      </text>
    </comment>
    <comment ref="C14" authorId="0" shapeId="0">
      <text>
        <t>INK — 30 June 2026 amount ekhane boshan. Cell khali rekhe audit complete korun.</t>
      </text>
    </comment>
    <comment ref="D14" authorId="0" shapeId="0">
      <text>
        <t>Last year audited (30 June 2025) comparative. Last year FS PDF attach na howay figure auto-boshano hoy nai — audited 2025 figure ekhane din.</t>
      </text>
    </comment>
    <comment ref="C19" authorId="0" shapeId="0">
      <text>
        <t>INK — 30 June 2026 amount ekhane boshan. Cell khali rekhe audit complete korun.</t>
      </text>
    </comment>
    <comment ref="D19" authorId="0" shapeId="0">
      <text>
        <t>Last year audited (30 June 2025) comparative. Last year FS PDF attach na howay figure auto-boshano hoy nai — audited 2025 figure ekhane din.</t>
      </text>
    </comment>
    <comment ref="D20" authorId="0" shapeId="0">
      <text>
        <t>Last year audited (30 June 2025) comparative. Last year FS PDF attach na howay figure auto-boshano hoy nai — audited 2025 figure ekhane din.</t>
      </text>
    </comment>
    <comment ref="C21" authorId="0" shapeId="0">
      <text>
        <t>INK — 30 June 2026 amount ekhane boshan. Cell khali rekhe audit complete korun.</t>
      </text>
    </comment>
    <comment ref="D21" authorId="0" shapeId="0">
      <text>
        <t>Last year audited (30 June 2025) comparative. Last year FS PDF attach na howay figure auto-boshano hoy nai — audited 2025 figure ekhane din.</t>
      </text>
    </comment>
    <comment ref="C22" authorId="0" shapeId="0">
      <text>
        <t>INK — 30 June 2026 amount ekhane boshan. Cell khali rekhe audit complete korun.</t>
      </text>
    </comment>
    <comment ref="D22" authorId="0" shapeId="0">
      <text>
        <t>Last year audited (30 June 2025) comparative. Last year FS PDF attach na howay figure auto-boshano hoy nai — audited 2025 figure ekhane din.</t>
      </text>
    </comment>
    <comment ref="C29" authorId="0" shapeId="0">
      <text>
        <t>INK — 30 June 2026 amount ekhane boshan. Cell khali rekhe audit complete korun.</t>
      </text>
    </comment>
    <comment ref="D29" authorId="0" shapeId="0">
      <text>
        <t>Last year audited (30 June 2025) comparative. Last year FS PDF attach na howay figure auto-boshano hoy nai — audited 2025 figure ekhane din.</t>
      </text>
    </comment>
    <comment ref="C30" authorId="0" shapeId="0">
      <text>
        <t>INK — 30 June 2026 amount ekhane boshan. Cell khali rekhe audit complete korun.</t>
      </text>
    </comment>
    <comment ref="D30" authorId="0" shapeId="0">
      <text>
        <t>Last year audited (30 June 2025) comparative. Last year FS PDF attach na howay figure auto-boshano hoy nai — audited 2025 figure ekhane din.</t>
      </text>
    </comment>
    <comment ref="C31" authorId="0" shapeId="0">
      <text>
        <t>INK — 30 June 2026 amount ekhane boshan. Cell khali rekhe audit complete korun.</t>
      </text>
    </comment>
    <comment ref="D31" authorId="0" shapeId="0">
      <text>
        <t>Last year audited (30 June 2025) comparative. Last year FS PDF attach na howay figure auto-boshano hoy nai — audited 2025 figure ekhane din.</t>
      </text>
    </comment>
    <comment ref="C32" authorId="0" shapeId="0">
      <text>
        <t>INK — 30 June 2026 amount ekhane boshan. Cell khali rekhe audit complete korun.</t>
      </text>
    </comment>
    <comment ref="D32" authorId="0" shapeId="0">
      <text>
        <t>Last year audited (30 June 2025) comparative. Last year FS PDF attach na howay figure auto-boshano hoy nai — audited 2025 figure ekhane din.</t>
      </text>
    </comment>
    <comment ref="C33" authorId="0" shapeId="0">
      <text>
        <t>INK — 30 June 2026 amount ekhane boshan. Cell khali rekhe audit complete korun.</t>
      </text>
    </comment>
    <comment ref="D33" authorId="0" shapeId="0">
      <text>
        <t>Last year audited (30 June 2025) comparative. Last year FS PDF attach na howay figure auto-boshano hoy nai — audited 2025 figure ekhane din.</t>
      </text>
    </comment>
    <comment ref="C36" authorId="0" shapeId="0">
      <text>
        <t>INK — 30 June 2026 amount ekhane boshan. Cell khali rekhe audit complete korun.</t>
      </text>
    </comment>
    <comment ref="D36" authorId="0" shapeId="0">
      <text>
        <t>Last year audited (30 June 2025) comparative. Last year FS PDF attach na howay figure auto-boshano hoy nai — audited 2025 figure ekhane din.</t>
      </text>
    </comment>
    <comment ref="C45" authorId="0" shapeId="0">
      <text>
        <t>INK — 30 June 2026 amount ekhane boshan. Cell khali rekhe audit complete korun.</t>
      </text>
    </comment>
    <comment ref="D45" authorId="0" shapeId="0">
      <text>
        <t>Last year audited (30 June 2025) comparative. Last year FS PDF attach na howay figure auto-boshano hoy nai — audited 2025 figure ekhane din.</t>
      </text>
    </comment>
  </commentList>
</comments>
</file>

<file path=xl/comments/comment6.xml><?xml version="1.0" encoding="utf-8"?>
<comments xmlns="http://schemas.openxmlformats.org/spreadsheetml/2006/main">
  <authors>
    <author>Rahman Anis &amp; Co.</author>
  </authors>
  <commentList>
    <comment ref="C12" authorId="0" shapeId="0">
      <text>
        <t>INK — 30 June 2026 amount ekhane boshan. Cell khali rekhe audit complete korun.</t>
      </text>
    </comment>
    <comment ref="D12" authorId="0" shapeId="0">
      <text>
        <t>Last year audited (30 June 2025) comparative. Last year FS PDF attach na howay figure auto-boshano hoy nai — audited 2025 figure ekhane din.</t>
      </text>
    </comment>
    <comment ref="C13" authorId="0" shapeId="0">
      <text>
        <t>INK — 30 June 2026 amount ekhane boshan. Cell khali rekhe audit complete korun.</t>
      </text>
    </comment>
    <comment ref="D13" authorId="0" shapeId="0">
      <text>
        <t>Last year audited (30 June 2025) comparative. Last year FS PDF attach na howay figure auto-boshano hoy nai — audited 2025 figure ekhane din.</t>
      </text>
    </comment>
    <comment ref="C14" authorId="0" shapeId="0">
      <text>
        <t>INK — 30 June 2026 amount ekhane boshan. Cell khali rekhe audit complete korun.</t>
      </text>
    </comment>
    <comment ref="D14" authorId="0" shapeId="0">
      <text>
        <t>Last year audited (30 June 2025) comparative. Last year FS PDF attach na howay figure auto-boshano hoy nai — audited 2025 figure ekhane din.</t>
      </text>
    </comment>
    <comment ref="C15" authorId="0" shapeId="0">
      <text>
        <t>INK — 30 June 2026 amount ekhane boshan. Cell khali rekhe audit complete korun.</t>
      </text>
    </comment>
    <comment ref="D15" authorId="0" shapeId="0">
      <text>
        <t>Last year audited (30 June 2025) comparative. Last year FS PDF attach na howay figure auto-boshano hoy nai — audited 2025 figure ekhane din.</t>
      </text>
    </comment>
    <comment ref="C16" authorId="0" shapeId="0">
      <text>
        <t>INK — 30 June 2026 amount ekhane boshan. Cell khali rekhe audit complete korun.</t>
      </text>
    </comment>
    <comment ref="D16" authorId="0" shapeId="0">
      <text>
        <t>Last year audited (30 June 2025) comparative. Last year FS PDF attach na howay figure auto-boshano hoy nai — audited 2025 figure ekhane din.</t>
      </text>
    </comment>
    <comment ref="C17" authorId="0" shapeId="0">
      <text>
        <t>INK — 30 June 2026 amount ekhane boshan. Cell khali rekhe audit complete korun.</t>
      </text>
    </comment>
    <comment ref="D17" authorId="0" shapeId="0">
      <text>
        <t>Last year audited (30 June 2025) comparative. Last year FS PDF attach na howay figure auto-boshano hoy nai — audited 2025 figure ekhane din.</t>
      </text>
    </comment>
    <comment ref="C18" authorId="0" shapeId="0">
      <text>
        <t>INK — 30 June 2026 amount ekhane boshan. Cell khali rekhe audit complete korun.</t>
      </text>
    </comment>
    <comment ref="D18" authorId="0" shapeId="0">
      <text>
        <t>Last year audited (30 June 2025) comparative. Last year FS PDF attach na howay figure auto-boshano hoy nai — audited 2025 figure ekhane din.</t>
      </text>
    </comment>
    <comment ref="C21" authorId="0" shapeId="0">
      <text>
        <t>INK — 30 June 2026 amount ekhane boshan. Cell khali rekhe audit complete korun.</t>
      </text>
    </comment>
    <comment ref="D21" authorId="0" shapeId="0">
      <text>
        <t>Last year audited (30 June 2025) comparative. Last year FS PDF attach na howay figure auto-boshano hoy nai — audited 2025 figure ekhane din.</t>
      </text>
    </comment>
    <comment ref="C22" authorId="0" shapeId="0">
      <text>
        <t>INK — 30 June 2026 amount ekhane boshan. Cell khali rekhe audit complete korun.</t>
      </text>
    </comment>
    <comment ref="D22" authorId="0" shapeId="0">
      <text>
        <t>Last year audited (30 June 2025) comparative. Last year FS PDF attach na howay figure auto-boshano hoy nai — audited 2025 figure ekhane din.</t>
      </text>
    </comment>
    <comment ref="C23" authorId="0" shapeId="0">
      <text>
        <t>INK — 30 June 2026 amount ekhane boshan. Cell khali rekhe audit complete korun.</t>
      </text>
    </comment>
    <comment ref="D23" authorId="0" shapeId="0">
      <text>
        <t>Last year audited (30 June 2025) comparative. Last year FS PDF attach na howay figure auto-boshano hoy nai — audited 2025 figure ekhane din.</t>
      </text>
    </comment>
    <comment ref="C24" authorId="0" shapeId="0">
      <text>
        <t>INK — 30 June 2026 amount ekhane boshan. Cell khali rekhe audit complete korun.</t>
      </text>
    </comment>
    <comment ref="D24" authorId="0" shapeId="0">
      <text>
        <t>Last year audited (30 June 2025) comparative. Last year FS PDF attach na howay figure auto-boshano hoy nai — audited 2025 figure ekhane din.</t>
      </text>
    </comment>
    <comment ref="C25" authorId="0" shapeId="0">
      <text>
        <t>INK — 30 June 2026 amount ekhane boshan. Cell khali rekhe audit complete korun.</t>
      </text>
    </comment>
    <comment ref="D25" authorId="0" shapeId="0">
      <text>
        <t>Last year audited (30 June 2025) comparative. Last year FS PDF attach na howay figure auto-boshano hoy nai — audited 2025 figure ekhane din.</t>
      </text>
    </comment>
    <comment ref="C26" authorId="0" shapeId="0">
      <text>
        <t>INK — 30 June 2026 amount ekhane boshan. Cell khali rekhe audit complete korun.</t>
      </text>
    </comment>
    <comment ref="D26" authorId="0" shapeId="0">
      <text>
        <t>Last year audited (30 June 2025) comparative. Last year FS PDF attach na howay figure auto-boshano hoy nai — audited 2025 figure ekhane din.</t>
      </text>
    </comment>
    <comment ref="C29" authorId="0" shapeId="0">
      <text>
        <t>INK — 30 June 2026 amount ekhane boshan. Cell khali rekhe audit complete korun.</t>
      </text>
    </comment>
    <comment ref="D29" authorId="0" shapeId="0">
      <text>
        <t>Last year audited (30 June 2025) comparative. Last year FS PDF attach na howay figure auto-boshano hoy nai — audited 2025 figure ekhane din.</t>
      </text>
    </comment>
    <comment ref="C30" authorId="0" shapeId="0">
      <text>
        <t>INK — 30 June 2026 amount ekhane boshan. Cell khali rekhe audit complete korun.</t>
      </text>
    </comment>
    <comment ref="D30" authorId="0" shapeId="0">
      <text>
        <t>Last year audited (30 June 2025) comparative. Last year FS PDF attach na howay figure auto-boshano hoy nai — audited 2025 figure ekhane din.</t>
      </text>
    </comment>
  </commentList>
</comments>
</file>

<file path=xl/comments/comment7.xml><?xml version="1.0" encoding="utf-8"?>
<comments xmlns="http://schemas.openxmlformats.org/spreadsheetml/2006/main">
  <authors>
    <author>Rahman Anis &amp; Co.</author>
    <author>RAC</author>
  </authors>
  <commentList>
    <comment ref="B12" authorId="0" shapeId="0">
      <text>
        <t>Last year audited (30 June 2025) comparative. Last year FS PDF attach na howay figure auto-boshano hoy nai — audited 2025 figure ekhane din.</t>
      </text>
    </comment>
    <comment ref="C12" authorId="0" shapeId="0">
      <text>
        <t>Last year audited (30 June 2025) comparative. Last year FS PDF attach na howay figure auto-boshano hoy nai — audited 2025 figure ekhane din.</t>
      </text>
    </comment>
    <comment ref="D12" authorId="0" shapeId="0">
      <text>
        <t>Last year audited (30 June 2025) comparative. Last year FS PDF attach na howay figure auto-boshano hoy nai — audited 2025 figure ekhane din.</t>
      </text>
    </comment>
    <comment ref="E12" authorId="0" shapeId="0">
      <text>
        <t>Last year audited (30 June 2025) comparative. Last year FS PDF attach na howay figure auto-boshano hoy nai — audited 2025 figure ekhane din.</t>
      </text>
    </comment>
    <comment ref="F12" authorId="0" shapeId="0">
      <text>
        <t>Last year audited (30 June 2025) comparative. Last year FS PDF attach na howay figure auto-boshano hoy nai — audited 2025 figure ekhane din.</t>
      </text>
    </comment>
    <comment ref="G12" authorId="0" shapeId="0">
      <text>
        <t>Last year audited (30 June 2025) comparative. Last year FS PDF attach na howay figure auto-boshano hoy nai — audited 2025 figure ekhane din.</t>
      </text>
    </comment>
    <comment ref="H12" authorId="0" shapeId="0">
      <text>
        <t>Last year audited (30 June 2025) comparative. Last year FS PDF attach na howay figure auto-boshano hoy nai — audited 2025 figure ekhane din.</t>
      </text>
    </comment>
    <comment ref="I12" authorId="0" shapeId="0">
      <text>
        <t>Last year audited (30 June 2025) comparative. Last year FS PDF attach na howay figure auto-boshano hoy nai — audited 2025 figure ekhane din.</t>
      </text>
    </comment>
    <comment ref="B13" authorId="0" shapeId="0">
      <text>
        <t>INK — 30 June 2026 amount ekhane boshan. Cell khali rekhe audit complete korun.</t>
      </text>
    </comment>
    <comment ref="C13" authorId="0" shapeId="0">
      <text>
        <t>INK — 30 June 2026 amount ekhane boshan. Cell khali rekhe audit complete korun.</t>
      </text>
    </comment>
    <comment ref="D13" authorId="0" shapeId="0">
      <text>
        <t>INK — 30 June 2026 amount ekhane boshan. Cell khali rekhe audit complete korun.</t>
      </text>
    </comment>
    <comment ref="E13" authorId="0" shapeId="0">
      <text>
        <t>INK — 30 June 2026 amount ekhane boshan. Cell khali rekhe audit complete korun.</t>
      </text>
    </comment>
    <comment ref="F13" authorId="0" shapeId="0">
      <text>
        <t>INK — 30 June 2026 amount ekhane boshan. Cell khali rekhe audit complete korun.</t>
      </text>
    </comment>
    <comment ref="G13" authorId="0" shapeId="0">
      <text>
        <t>INK — 30 June 2026 amount ekhane boshan. Cell khali rekhe audit complete korun.</t>
      </text>
    </comment>
    <comment ref="H13" authorId="0" shapeId="0">
      <text>
        <t>INK — 30 June 2026 amount ekhane boshan. Cell khali rekhe audit complete korun.</t>
      </text>
    </comment>
    <comment ref="I13" authorId="0" shapeId="0">
      <text>
        <t>INK — 30 June 2026 amount ekhane boshan. Cell khali rekhe audit complete korun.</t>
      </text>
    </comment>
    <comment ref="B14" authorId="0" shapeId="0">
      <text>
        <t>INK — 30 June 2026 amount ekhane boshan. Cell khali rekhe audit complete korun.</t>
      </text>
    </comment>
    <comment ref="C14" authorId="0" shapeId="0">
      <text>
        <t>INK — 30 June 2026 amount ekhane boshan. Cell khali rekhe audit complete korun.</t>
      </text>
    </comment>
    <comment ref="D14" authorId="0" shapeId="0">
      <text>
        <t>INK — 30 June 2026 amount ekhane boshan. Cell khali rekhe audit complete korun.</t>
      </text>
    </comment>
    <comment ref="E14" authorId="0" shapeId="0">
      <text>
        <t>INK — 30 June 2026 amount ekhane boshan. Cell khali rekhe audit complete korun.</t>
      </text>
    </comment>
    <comment ref="F14" authorId="0" shapeId="0">
      <text>
        <t>INK — 30 June 2026 amount ekhane boshan. Cell khali rekhe audit complete korun.</t>
      </text>
    </comment>
    <comment ref="G14" authorId="0" shapeId="0">
      <text>
        <t>INK — 30 June 2026 amount ekhane boshan. Cell khali rekhe audit complete korun.</t>
      </text>
    </comment>
    <comment ref="H14" authorId="0" shapeId="0">
      <text>
        <t>INK — 30 June 2026 amount ekhane boshan. Cell khali rekhe audit complete korun.</t>
      </text>
    </comment>
    <comment ref="I14" authorId="0" shapeId="0">
      <text>
        <t>INK — 30 June 2026 amount ekhane boshan. Cell khali rekhe audit complete korun.</t>
      </text>
    </comment>
    <comment ref="B15" authorId="0" shapeId="0">
      <text>
        <t>INK — 30 June 2026 amount ekhane boshan. Cell khali rekhe audit complete korun.</t>
      </text>
    </comment>
    <comment ref="C15" authorId="0" shapeId="0">
      <text>
        <t>INK — 30 June 2026 amount ekhane boshan. Cell khali rekhe audit complete korun.</t>
      </text>
    </comment>
    <comment ref="D15" authorId="0" shapeId="0">
      <text>
        <t>INK — 30 June 2026 amount ekhane boshan. Cell khali rekhe audit complete korun.</t>
      </text>
    </comment>
    <comment ref="E15" authorId="0" shapeId="0">
      <text>
        <t>INK — 30 June 2026 amount ekhane boshan. Cell khali rekhe audit complete korun.</t>
      </text>
    </comment>
    <comment ref="F15" authorId="0" shapeId="0">
      <text>
        <t>INK — 30 June 2026 amount ekhane boshan. Cell khali rekhe audit complete korun.</t>
      </text>
    </comment>
    <comment ref="G15" authorId="0" shapeId="0">
      <text>
        <t>INK — 30 June 2026 amount ekhane boshan. Cell khali rekhe audit complete korun.</t>
      </text>
    </comment>
    <comment ref="H15" authorId="0" shapeId="0">
      <text>
        <t>INK — 30 June 2026 amount ekhane boshan. Cell khali rekhe audit complete korun.</t>
      </text>
    </comment>
    <comment ref="I15" authorId="0" shapeId="0">
      <text>
        <t>INK — 30 June 2026 amount ekhane boshan. Cell khali rekhe audit complete korun.</t>
      </text>
    </comment>
    <comment ref="B19" authorId="0" shapeId="0">
      <text>
        <t>Last year audited (30 June 2025) comparative. Last year FS PDF attach na howay figure auto-boshano hoy nai — audited 2025 figure ekhane din.</t>
      </text>
    </comment>
    <comment ref="C19" authorId="0" shapeId="0">
      <text>
        <t>Last year audited (30 June 2025) comparative. Last year FS PDF attach na howay figure auto-boshano hoy nai — audited 2025 figure ekhane din.</t>
      </text>
    </comment>
    <comment ref="D19" authorId="0" shapeId="0">
      <text>
        <t>Last year audited (30 June 2025) comparative. Last year FS PDF attach na howay figure auto-boshano hoy nai — audited 2025 figure ekhane din.</t>
      </text>
    </comment>
    <comment ref="E19" authorId="0" shapeId="0">
      <text>
        <t>Last year audited (30 June 2025) comparative. Last year FS PDF attach na howay figure auto-boshano hoy nai — audited 2025 figure ekhane din.</t>
      </text>
    </comment>
    <comment ref="F19" authorId="0" shapeId="0">
      <text>
        <t>Last year audited (30 June 2025) comparative. Last year FS PDF attach na howay figure auto-boshano hoy nai — audited 2025 figure ekhane din.</t>
      </text>
    </comment>
    <comment ref="G19" authorId="0" shapeId="0">
      <text>
        <t>Last year audited (30 June 2025) comparative. Last year FS PDF attach na howay figure auto-boshano hoy nai — audited 2025 figure ekhane din.</t>
      </text>
    </comment>
    <comment ref="H19" authorId="0" shapeId="0">
      <text>
        <t>Last year audited (30 June 2025) comparative. Last year FS PDF attach na howay figure auto-boshano hoy nai — audited 2025 figure ekhane din.</t>
      </text>
    </comment>
    <comment ref="I19" authorId="0" shapeId="0">
      <text>
        <t>Last year audited (30 June 2025) comparative. Last year FS PDF attach na howay figure auto-boshano hoy nai — audited 2025 figure ekhane din.</t>
      </text>
    </comment>
    <comment ref="B20" authorId="1" shapeId="0">
      <text>
        <t>Land — usually nil depreciation.</t>
      </text>
    </comment>
    <comment ref="C20" authorId="0" shapeId="0">
      <text>
        <t>INK — 30 June 2026 amount ekhane boshan. Cell khali rekhe audit complete korun.</t>
      </text>
    </comment>
    <comment ref="D20" authorId="0" shapeId="0">
      <text>
        <t>INK — 30 June 2026 amount ekhane boshan. Cell khali rekhe audit complete korun.</t>
      </text>
    </comment>
    <comment ref="E20" authorId="0" shapeId="0">
      <text>
        <t>INK — 30 June 2026 amount ekhane boshan. Cell khali rekhe audit complete korun.</t>
      </text>
    </comment>
    <comment ref="F20" authorId="0" shapeId="0">
      <text>
        <t>INK — 30 June 2026 amount ekhane boshan. Cell khali rekhe audit complete korun.</t>
      </text>
    </comment>
    <comment ref="G20" authorId="0" shapeId="0">
      <text>
        <t>INK — 30 June 2026 amount ekhane boshan. Cell khali rekhe audit complete korun.</t>
      </text>
    </comment>
    <comment ref="H20" authorId="0" shapeId="0">
      <text>
        <t>INK — 30 June 2026 amount ekhane boshan. Cell khali rekhe audit complete korun.</t>
      </text>
    </comment>
    <comment ref="I20" authorId="0" shapeId="0">
      <text>
        <t>INK — 30 June 2026 amount ekhane boshan. Cell khali rekhe audit complete korun.</t>
      </text>
    </comment>
    <comment ref="B21" authorId="0" shapeId="0">
      <text>
        <t>INK — 30 June 2026 amount ekhane boshan. Cell khali rekhe audit complete korun.</t>
      </text>
    </comment>
    <comment ref="C21" authorId="0" shapeId="0">
      <text>
        <t>INK — 30 June 2026 amount ekhane boshan. Cell khali rekhe audit complete korun.</t>
      </text>
    </comment>
    <comment ref="D21" authorId="0" shapeId="0">
      <text>
        <t>INK — 30 June 2026 amount ekhane boshan. Cell khali rekhe audit complete korun.</t>
      </text>
    </comment>
    <comment ref="E21" authorId="0" shapeId="0">
      <text>
        <t>INK — 30 June 2026 amount ekhane boshan. Cell khali rekhe audit complete korun.</t>
      </text>
    </comment>
    <comment ref="F21" authorId="0" shapeId="0">
      <text>
        <t>INK — 30 June 2026 amount ekhane boshan. Cell khali rekhe audit complete korun.</t>
      </text>
    </comment>
    <comment ref="G21" authorId="0" shapeId="0">
      <text>
        <t>INK — 30 June 2026 amount ekhane boshan. Cell khali rekhe audit complete korun.</t>
      </text>
    </comment>
    <comment ref="H21" authorId="0" shapeId="0">
      <text>
        <t>INK — 30 June 2026 amount ekhane boshan. Cell khali rekhe audit complete korun.</t>
      </text>
    </comment>
    <comment ref="I21" authorId="0" shapeId="0">
      <text>
        <t>INK — 30 June 2026 amount ekhane boshan. Cell khali rekhe audit complete korun.</t>
      </text>
    </comment>
    <comment ref="B26" authorId="1" shapeId="0">
      <text>
        <t>Auto: opening cost − opening dep. Override only if last year WDV differs.</t>
      </text>
    </comment>
    <comment ref="C26" authorId="1" shapeId="0">
      <text>
        <t>Auto: opening cost − opening dep. Override only if last year WDV differs.</t>
      </text>
    </comment>
    <comment ref="D26" authorId="1" shapeId="0">
      <text>
        <t>Auto: opening cost − opening dep. Override only if last year WDV differs.</t>
      </text>
    </comment>
    <comment ref="E26" authorId="1" shapeId="0">
      <text>
        <t>Auto: opening cost − opening dep. Override only if last year WDV differs.</t>
      </text>
    </comment>
    <comment ref="F26" authorId="1" shapeId="0">
      <text>
        <t>Auto: opening cost − opening dep. Override only if last year WDV differs.</t>
      </text>
    </comment>
    <comment ref="G26" authorId="1" shapeId="0">
      <text>
        <t>Auto: opening cost − opening dep. Override only if last year WDV differs.</t>
      </text>
    </comment>
    <comment ref="H26" authorId="1" shapeId="0">
      <text>
        <t>Auto: opening cost − opening dep. Override only if last year WDV differs.</t>
      </text>
    </comment>
    <comment ref="I26" authorId="1" shapeId="0">
      <text>
        <t>Auto: opening cost − opening dep. Override only if last year WDV differs.</t>
      </text>
    </comment>
    <comment ref="J26" authorId="1" shapeId="0">
      <text>
        <t>Auto: opening cost − opening dep. Override only if last year WDV differs.</t>
      </text>
    </comment>
    <comment ref="I29" authorId="0" shapeId="0">
      <text>
        <t>INK — 30 June 2026 amount ekhane boshan. Cell khali rekhe audit complete korun.</t>
      </text>
    </comment>
    <comment ref="I30" authorId="0" shapeId="0">
      <text>
        <t>INK — 30 June 2026 amount ekhane boshan. Cell khali rekhe audit complete korun.</t>
      </text>
    </comment>
    <comment ref="I31" authorId="0" shapeId="0">
      <text>
        <t>INK — 30 June 2026 amount ekhane boshan. Cell khali rekhe audit complete korun.</t>
      </text>
    </comment>
    <comment ref="C48" authorId="0" shapeId="0">
      <text>
        <t>INK — 30 June 2026 amount ekhane boshan. Cell khali rekhe audit complete korun.</t>
      </text>
    </comment>
  </commentList>
</comments>
</file>

<file path=xl/comments/comment8.xml><?xml version="1.0" encoding="utf-8"?>
<comments xmlns="http://schemas.openxmlformats.org/spreadsheetml/2006/main">
  <authors>
    <author>Rahman Anis &amp; Co.</author>
  </authors>
  <commentList>
    <comment ref="C11" authorId="0" shapeId="0">
      <text>
        <t>INK — 30 June 2026 amount ekhane boshan. Cell khali rekhe audit complete korun.</t>
      </text>
    </comment>
    <comment ref="D11" authorId="0" shapeId="0">
      <text>
        <t>Last year audited (30 June 2025) comparative. Last year FS PDF attach na howay figure auto-boshano hoy nai — audited 2025 figure ekhane din.</t>
      </text>
    </comment>
    <comment ref="C12" authorId="0" shapeId="0">
      <text>
        <t>INK — 30 June 2026 amount ekhane boshan. Cell khali rekhe audit complete korun.</t>
      </text>
    </comment>
    <comment ref="D12" authorId="0" shapeId="0">
      <text>
        <t>Last year audited (30 June 2025) comparative. Last year FS PDF attach na howay figure auto-boshano hoy nai — audited 2025 figure ekhane din.</t>
      </text>
    </comment>
    <comment ref="C14" authorId="0" shapeId="0">
      <text>
        <t>INK — 30 June 2026 amount ekhane boshan. Cell khali rekhe audit complete korun.</t>
      </text>
    </comment>
    <comment ref="D14" authorId="0" shapeId="0">
      <text>
        <t>Last year audited (30 June 2025) comparative. Last year FS PDF attach na howay figure auto-boshano hoy nai — audited 2025 figure ekhane din.</t>
      </text>
    </comment>
    <comment ref="C17" authorId="0" shapeId="0">
      <text>
        <t>INK — 30 June 2026 amount ekhane boshan. Cell khali rekhe audit complete korun.</t>
      </text>
    </comment>
    <comment ref="D17" authorId="0" shapeId="0">
      <text>
        <t>Last year audited (30 June 2025) comparative. Last year FS PDF attach na howay figure auto-boshano hoy nai — audited 2025 figure ekhane din.</t>
      </text>
    </comment>
    <comment ref="C18" authorId="0" shapeId="0">
      <text>
        <t>INK — 30 June 2026 amount ekhane boshan. Cell khali rekhe audit complete korun.</t>
      </text>
    </comment>
    <comment ref="D18" authorId="0" shapeId="0">
      <text>
        <t>Last year audited (30 June 2025) comparative. Last year FS PDF attach na howay figure auto-boshano hoy nai — audited 2025 figure ekhane din.</t>
      </text>
    </comment>
    <comment ref="C20" authorId="0" shapeId="0">
      <text>
        <t>INK — 30 June 2026 amount ekhane boshan. Cell khali rekhe audit complete korun.</t>
      </text>
    </comment>
    <comment ref="D20" authorId="0" shapeId="0">
      <text>
        <t>Last year audited (30 June 2025) comparative. Last year FS PDF attach na howay figure auto-boshano hoy nai — audited 2025 figure ekhane din.</t>
      </text>
    </comment>
    <comment ref="C24" authorId="0" shapeId="0">
      <text>
        <t>INK — 30 June 2026 amount ekhane boshan. Cell khali rekhe audit complete korun.</t>
      </text>
    </comment>
    <comment ref="D24" authorId="0" shapeId="0">
      <text>
        <t>Last year audited (30 June 2025) comparative. Last year FS PDF attach na howay figure auto-boshano hoy nai — audited 2025 figure ekhane din.</t>
      </text>
    </comment>
    <comment ref="C25" authorId="0" shapeId="0">
      <text>
        <t>INK — 30 June 2026 amount ekhane boshan. Cell khali rekhe audit complete korun.</t>
      </text>
    </comment>
    <comment ref="D25" authorId="0" shapeId="0">
      <text>
        <t>Last year audited (30 June 2025) comparative. Last year FS PDF attach na howay figure auto-boshano hoy nai — audited 2025 figure ekhane din.</t>
      </text>
    </comment>
    <comment ref="C26" authorId="0" shapeId="0">
      <text>
        <t>INK — 30 June 2026 amount ekhane boshan. Cell khali rekhe audit complete korun.</t>
      </text>
    </comment>
    <comment ref="D26" authorId="0" shapeId="0">
      <text>
        <t>Last year audited (30 June 2025) comparative. Last year FS PDF attach na howay figure auto-boshano hoy nai — audited 2025 figure ekhane din.</t>
      </text>
    </comment>
    <comment ref="C27" authorId="0" shapeId="0">
      <text>
        <t>INK — 30 June 2026 amount ekhane boshan. Cell khali rekhe audit complete korun.</t>
      </text>
    </comment>
    <comment ref="D27" authorId="0" shapeId="0">
      <text>
        <t>Last year audited (30 June 2025) comparative. Last year FS PDF attach na howay figure auto-boshano hoy nai — audited 2025 figure ekhane din.</t>
      </text>
    </comment>
    <comment ref="C28" authorId="0" shapeId="0">
      <text>
        <t>INK — 30 June 2026 amount ekhane boshan. Cell khali rekhe audit complete korun.</t>
      </text>
    </comment>
    <comment ref="D28" authorId="0" shapeId="0">
      <text>
        <t>Last year audited (30 June 2025) comparative. Last year FS PDF attach na howay figure auto-boshano hoy nai — audited 2025 figure ekhane din.</t>
      </text>
    </comment>
    <comment ref="C29" authorId="0" shapeId="0">
      <text>
        <t>INK — 30 June 2026 amount ekhane boshan. Cell khali rekhe audit complete korun.</t>
      </text>
    </comment>
    <comment ref="D29" authorId="0" shapeId="0">
      <text>
        <t>Last year audited (30 June 2025) comparative. Last year FS PDF attach na howay figure auto-boshano hoy nai — audited 2025 figure ekhane din.</t>
      </text>
    </comment>
    <comment ref="C30" authorId="0" shapeId="0">
      <text>
        <t>INK — 30 June 2026 amount ekhane boshan. Cell khali rekhe audit complete korun.</t>
      </text>
    </comment>
    <comment ref="D30" authorId="0" shapeId="0">
      <text>
        <t>Last year audited (30 June 2025) comparative. Last year FS PDF attach na howay figure auto-boshano hoy nai — audited 2025 figure ekhane din.</t>
      </text>
    </comment>
    <comment ref="C31" authorId="0" shapeId="0">
      <text>
        <t>INK — 30 June 2026 amount ekhane boshan. Cell khali rekhe audit complete korun.</t>
      </text>
    </comment>
    <comment ref="D31" authorId="0" shapeId="0">
      <text>
        <t>Last year audited (30 June 2025) comparative. Last year FS PDF attach na howay figure auto-boshano hoy nai — audited 2025 figure ekhane din.</t>
      </text>
    </comment>
    <comment ref="C32" authorId="0" shapeId="0">
      <text>
        <t>INK — 30 June 2026 amount ekhane boshan. Cell khali rekhe audit complete korun.</t>
      </text>
    </comment>
    <comment ref="D32" authorId="0" shapeId="0">
      <text>
        <t>Last year audited (30 June 2025) comparative. Last year FS PDF attach na howay figure auto-boshano hoy nai — audited 2025 figure ekhane din.</t>
      </text>
    </comment>
    <comment ref="C33" authorId="0" shapeId="0">
      <text>
        <t>INK — 30 June 2026 amount ekhane boshan. Cell khali rekhe audit complete korun.</t>
      </text>
    </comment>
    <comment ref="D33" authorId="0" shapeId="0">
      <text>
        <t>Last year audited (30 June 2025) comparative. Last year FS PDF attach na howay figure auto-boshano hoy nai — audited 2025 figure ekhane din.</t>
      </text>
    </comment>
    <comment ref="C34" authorId="0" shapeId="0">
      <text>
        <t>INK — 30 June 2026 amount ekhane boshan. Cell khali rekhe audit complete korun.</t>
      </text>
    </comment>
    <comment ref="D34" authorId="0" shapeId="0">
      <text>
        <t>Last year audited (30 June 2025) comparative. Last year FS PDF attach na howay figure auto-boshano hoy nai — audited 2025 figure ekhane din.</t>
      </text>
    </comment>
    <comment ref="C35" authorId="0" shapeId="0">
      <text>
        <t>INK — 30 June 2026 amount ekhane boshan. Cell khali rekhe audit complete korun.</t>
      </text>
    </comment>
    <comment ref="D35" authorId="0" shapeId="0">
      <text>
        <t>Last year audited (30 June 2025) comparative. Last year FS PDF attach na howay figure auto-boshano hoy nai — audited 2025 figure ekhane din.</t>
      </text>
    </comment>
    <comment ref="D36" authorId="0" shapeId="0">
      <text>
        <t>Last year audited (30 June 2025) comparative. Last year FS PDF attach na howay figure auto-boshano hoy nai — audited 2025 figure ekhane din.</t>
      </text>
    </comment>
    <comment ref="C37" authorId="0" shapeId="0">
      <text>
        <t>INK — 30 June 2026 amount ekhane boshan. Cell khali rekhe audit complete korun.</t>
      </text>
    </comment>
    <comment ref="D37" authorId="0" shapeId="0">
      <text>
        <t>Last year audited (30 June 2025) comparative. Last year FS PDF attach na howay figure auto-boshano hoy nai — audited 2025 figure ekhane din.</t>
      </text>
    </comment>
    <comment ref="C41" authorId="0" shapeId="0">
      <text>
        <t>INK — 30 June 2026 amount ekhane boshan. Cell khali rekhe audit complete korun.</t>
      </text>
    </comment>
    <comment ref="D41" authorId="0" shapeId="0">
      <text>
        <t>Last year audited (30 June 2025) comparative. Last year FS PDF attach na howay figure auto-boshano hoy nai — audited 2025 figure ekhane din.</t>
      </text>
    </comment>
    <comment ref="C42" authorId="0" shapeId="0">
      <text>
        <t>INK — 30 June 2026 amount ekhane boshan. Cell khali rekhe audit complete korun.</t>
      </text>
    </comment>
    <comment ref="D42" authorId="0" shapeId="0">
      <text>
        <t>Last year audited (30 June 2025) comparative. Last year FS PDF attach na howay figure auto-boshano hoy nai — audited 2025 figure ekhane din.</t>
      </text>
    </comment>
    <comment ref="C47" authorId="0" shapeId="0">
      <text>
        <t>INK — 30 June 2026 amount ekhane boshan. Cell khali rekhe audit complete korun.</t>
      </text>
    </comment>
    <comment ref="D47" authorId="0" shapeId="0">
      <text>
        <t>Last year audited (30 June 2025) comparative. Last year FS PDF attach na howay figure auto-boshano hoy nai — audited 2025 figure ekhane din.</t>
      </text>
    </comment>
    <comment ref="C48" authorId="0" shapeId="0">
      <text>
        <t>INK — 30 June 2026 amount ekhane boshan. Cell khali rekhe audit complete korun.</t>
      </text>
    </comment>
    <comment ref="D48" authorId="0" shapeId="0">
      <text>
        <t>Last year audited (30 June 2025) comparative. Last year FS PDF attach na howay figure auto-boshano hoy nai — audited 2025 figure ekhane din.</t>
      </text>
    </comment>
  </commentList>
</comments>
</file>

<file path=xl/comments/comment9.xml><?xml version="1.0" encoding="utf-8"?>
<comments xmlns="http://schemas.openxmlformats.org/spreadsheetml/2006/main">
  <authors>
    <author>Rahman Anis &amp; Co.</author>
  </authors>
  <commentList>
    <comment ref="C11" authorId="0" shapeId="0">
      <text>
        <t>INK — 30 June 2026 amount ekhane boshan. Cell khali rekhe audit complete korun.</t>
      </text>
    </comment>
    <comment ref="D11" authorId="0" shapeId="0">
      <text>
        <t>Last year audited (30 June 2025) comparative. Last year FS PDF attach na howay figure auto-boshano hoy nai — audited 2025 figure ekhane din.</t>
      </text>
    </comment>
    <comment ref="C12" authorId="0" shapeId="0">
      <text>
        <t>INK — 30 June 2026 amount ekhane boshan. Cell khali rekhe audit complete korun.</t>
      </text>
    </comment>
    <comment ref="D12" authorId="0" shapeId="0">
      <text>
        <t>Last year audited (30 June 2025) comparative. Last year FS PDF attach na howay figure auto-boshano hoy nai — audited 2025 figure ekhane din.</t>
      </text>
    </comment>
    <comment ref="C13" authorId="0" shapeId="0">
      <text>
        <t>INK — 30 June 2026 amount ekhane boshan. Cell khali rekhe audit complete korun.</t>
      </text>
    </comment>
    <comment ref="D13" authorId="0" shapeId="0">
      <text>
        <t>Last year audited (30 June 2025) comparative. Last year FS PDF attach na howay figure auto-boshano hoy nai — audited 2025 figure ekhane din.</t>
      </text>
    </comment>
    <comment ref="C14" authorId="0" shapeId="0">
      <text>
        <t>INK — 30 June 2026 amount ekhane boshan. Cell khali rekhe audit complete korun.</t>
      </text>
    </comment>
    <comment ref="D14" authorId="0" shapeId="0">
      <text>
        <t>Last year audited (30 June 2025) comparative. Last year FS PDF attach na howay figure auto-boshano hoy nai — audited 2025 figure ekhane din.</t>
      </text>
    </comment>
    <comment ref="C15" authorId="0" shapeId="0">
      <text>
        <t>INK — 30 June 2026 amount ekhane boshan. Cell khali rekhe audit complete korun.</t>
      </text>
    </comment>
    <comment ref="D15" authorId="0" shapeId="0">
      <text>
        <t>Last year audited (30 June 2025) comparative. Last year FS PDF attach na howay figure auto-boshano hoy nai — audited 2025 figure ekhane din.</t>
      </text>
    </comment>
    <comment ref="C16" authorId="0" shapeId="0">
      <text>
        <t>INK — 30 June 2026 amount ekhane boshan. Cell khali rekhe audit complete korun.</t>
      </text>
    </comment>
    <comment ref="D16" authorId="0" shapeId="0">
      <text>
        <t>Last year audited (30 June 2025) comparative. Last year FS PDF attach na howay figure auto-boshano hoy nai — audited 2025 figure ekhane din.</t>
      </text>
    </comment>
    <comment ref="C17" authorId="0" shapeId="0">
      <text>
        <t>INK — 30 June 2026 amount ekhane boshan. Cell khali rekhe audit complete korun.</t>
      </text>
    </comment>
    <comment ref="D17" authorId="0" shapeId="0">
      <text>
        <t>Last year audited (30 June 2025) comparative. Last year FS PDF attach na howay figure auto-boshano hoy nai — audited 2025 figure ekhane din.</t>
      </text>
    </comment>
    <comment ref="C18" authorId="0" shapeId="0">
      <text>
        <t>INK — 30 June 2026 amount ekhane boshan. Cell khali rekhe audit complete korun.</t>
      </text>
    </comment>
    <comment ref="D18" authorId="0" shapeId="0">
      <text>
        <t>Last year audited (30 June 2025) comparative. Last year FS PDF attach na howay figure auto-boshano hoy nai — audited 2025 figure ekhane din.</t>
      </text>
    </comment>
    <comment ref="C19" authorId="0" shapeId="0">
      <text>
        <t>INK — 30 June 2026 amount ekhane boshan. Cell khali rekhe audit complete korun.</t>
      </text>
    </comment>
    <comment ref="D19" authorId="0" shapeId="0">
      <text>
        <t>Last year audited (30 June 2025) comparative. Last year FS PDF attach na howay figure auto-boshano hoy nai — audited 2025 figure ekhane din.</t>
      </text>
    </comment>
    <comment ref="C20" authorId="0" shapeId="0">
      <text>
        <t>INK — 30 June 2026 amount ekhane boshan. Cell khali rekhe audit complete korun.</t>
      </text>
    </comment>
    <comment ref="D20" authorId="0" shapeId="0">
      <text>
        <t>Last year audited (30 June 2025) comparative. Last year FS PDF attach na howay figure auto-boshano hoy nai — audited 2025 figure ekhane din.</t>
      </text>
    </comment>
    <comment ref="C21" authorId="0" shapeId="0">
      <text>
        <t>INK — 30 June 2026 amount ekhane boshan. Cell khali rekhe audit complete korun.</t>
      </text>
    </comment>
    <comment ref="D21" authorId="0" shapeId="0">
      <text>
        <t>Last year audited (30 June 2025) comparative. Last year FS PDF attach na howay figure auto-boshano hoy nai — audited 2025 figure ekhane din.</t>
      </text>
    </comment>
    <comment ref="C22" authorId="0" shapeId="0">
      <text>
        <t>INK — 30 June 2026 amount ekhane boshan. Cell khali rekhe audit complete korun.</t>
      </text>
    </comment>
    <comment ref="D22" authorId="0" shapeId="0">
      <text>
        <t>Last year audited (30 June 2025) comparative. Last year FS PDF attach na howay figure auto-boshano hoy nai — audited 2025 figure ekhane din.</t>
      </text>
    </comment>
    <comment ref="C23" authorId="0" shapeId="0">
      <text>
        <t>INK — 30 June 2026 amount ekhane boshan. Cell khali rekhe audit complete korun.</t>
      </text>
    </comment>
    <comment ref="D23" authorId="0" shapeId="0">
      <text>
        <t>Last year audited (30 June 2025) comparative. Last year FS PDF attach na howay figure auto-boshano hoy nai — audited 2025 figure ekhane din.</t>
      </text>
    </comment>
    <comment ref="C24" authorId="0" shapeId="0">
      <text>
        <t>INK — 30 June 2026 amount ekhane boshan. Cell khali rekhe audit complete korun.</t>
      </text>
    </comment>
    <comment ref="D24" authorId="0" shapeId="0">
      <text>
        <t>Last year audited (30 June 2025) comparative. Last year FS PDF attach na howay figure auto-boshano hoy nai — audited 2025 figure ekhane din.</t>
      </text>
    </comment>
    <comment ref="C25" authorId="0" shapeId="0">
      <text>
        <t>INK — 30 June 2026 amount ekhane boshan. Cell khali rekhe audit complete korun.</t>
      </text>
    </comment>
    <comment ref="D25" authorId="0" shapeId="0">
      <text>
        <t>Last year audited (30 June 2025) comparative. Last year FS PDF attach na howay figure auto-boshano hoy nai — audited 2025 figure ekhane din.</t>
      </text>
    </comment>
    <comment ref="C26" authorId="0" shapeId="0">
      <text>
        <t>INK — 30 June 2026 amount ekhane boshan. Cell khali rekhe audit complete korun.</t>
      </text>
    </comment>
    <comment ref="D26" authorId="0" shapeId="0">
      <text>
        <t>Last year audited (30 June 2025) comparative. Last year FS PDF attach na howay figure auto-boshano hoy nai — audited 2025 figure ekhane din.</t>
      </text>
    </comment>
    <comment ref="C27" authorId="0" shapeId="0">
      <text>
        <t>INK — 30 June 2026 amount ekhane boshan. Cell khali rekhe audit complete korun.</t>
      </text>
    </comment>
    <comment ref="D27" authorId="0" shapeId="0">
      <text>
        <t>Last year audited (30 June 2025) comparative. Last year FS PDF attach na howay figure auto-boshano hoy nai — audited 2025 figure ekhane din.</t>
      </text>
    </comment>
    <comment ref="C28" authorId="0" shapeId="0">
      <text>
        <t>INK — 30 June 2026 amount ekhane boshan. Cell khali rekhe audit complete korun.</t>
      </text>
    </comment>
    <comment ref="D28" authorId="0" shapeId="0">
      <text>
        <t>Last year audited (30 June 2025) comparative. Last year FS PDF attach na howay figure auto-boshano hoy nai — audited 2025 figure ekhane din.</t>
      </text>
    </comment>
    <comment ref="C29" authorId="0" shapeId="0">
      <text>
        <t>INK — 30 June 2026 amount ekhane boshan. Cell khali rekhe audit complete korun.</t>
      </text>
    </comment>
    <comment ref="D29" authorId="0" shapeId="0">
      <text>
        <t>Last year audited (30 June 2025) comparative. Last year FS PDF attach na howay figure auto-boshano hoy nai — audited 2025 figure ekhane din.</t>
      </text>
    </comment>
    <comment ref="D30" authorId="0" shapeId="0">
      <text>
        <t>Last year audited (30 June 2025) comparative. Last year FS PDF attach na howay figure auto-boshano hoy nai — audited 2025 figure ekhane din.</t>
      </text>
    </comment>
    <comment ref="C31" authorId="0" shapeId="0">
      <text>
        <t>INK — 30 June 2026 amount ekhane boshan. Cell khali rekhe audit complete korun.</t>
      </text>
    </comment>
    <comment ref="D31" authorId="0" shapeId="0">
      <text>
        <t>Last year audited (30 June 2025) comparative. Last year FS PDF attach na howay figure auto-boshano hoy nai — audited 2025 figure ekhane din.</t>
      </text>
    </comment>
    <comment ref="C32" authorId="0" shapeId="0">
      <text>
        <t>INK — 30 June 2026 amount ekhane boshan. Cell khali rekhe audit complete korun.</t>
      </text>
    </comment>
    <comment ref="D32" authorId="0" shapeId="0">
      <text>
        <t>Last year audited (30 June 2025) comparative. Last year FS PDF attach na howay figure auto-boshano hoy nai — audited 2025 figure ekhane din.</t>
      </text>
    </comment>
    <comment ref="C33" authorId="0" shapeId="0">
      <text>
        <t>INK — 30 June 2026 amount ekhane boshan. Cell khali rekhe audit complete korun.</t>
      </text>
    </comment>
    <comment ref="D33" authorId="0" shapeId="0">
      <text>
        <t>Last year audited (30 June 2025) comparative. Last year FS PDF attach na howay figure auto-boshano hoy nai — audited 2025 figure ekhane din.</t>
      </text>
    </comment>
    <comment ref="C37" authorId="0" shapeId="0">
      <text>
        <t>INK — 30 June 2026 amount ekhane boshan. Cell khali rekhe audit complete korun.</t>
      </text>
    </comment>
    <comment ref="D37" authorId="0" shapeId="0">
      <text>
        <t>Last year audited (30 June 2025) comparative. Last year FS PDF attach na howay figure auto-boshano hoy nai — audited 2025 figure ekhane din.</t>
      </text>
    </comment>
    <comment ref="C38" authorId="0" shapeId="0">
      <text>
        <t>INK — 30 June 2026 amount ekhane boshan. Cell khali rekhe audit complete korun.</t>
      </text>
    </comment>
    <comment ref="D38" authorId="0" shapeId="0">
      <text>
        <t>Last year audited (30 June 2025) comparative. Last year FS PDF attach na howay figure auto-boshano hoy nai — audited 2025 figure ekhane din.</t>
      </text>
    </comment>
    <comment ref="C39" authorId="0" shapeId="0">
      <text>
        <t>INK — 30 June 2026 amount ekhane boshan. Cell khali rekhe audit complete korun.</t>
      </text>
    </comment>
    <comment ref="D39" authorId="0" shapeId="0">
      <text>
        <t>Last year audited (30 June 2025) comparative. Last year FS PDF attach na howay figure auto-boshano hoy nai — audited 2025 figure ekhane din.</t>
      </text>
    </comment>
    <comment ref="C40" authorId="0" shapeId="0">
      <text>
        <t>INK — 30 June 2026 amount ekhane boshan. Cell khali rekhe audit complete korun.</t>
      </text>
    </comment>
    <comment ref="D40" authorId="0" shapeId="0">
      <text>
        <t>Last year audited (30 June 2025) comparative. Last year FS PDF attach na howay figure auto-boshano hoy nai — audited 2025 figure ekhane din.</t>
      </text>
    </comment>
    <comment ref="C41" authorId="0" shapeId="0">
      <text>
        <t>INK — 30 June 2026 amount ekhane boshan. Cell khali rekhe audit complete korun.</t>
      </text>
    </comment>
    <comment ref="D41" authorId="0" shapeId="0">
      <text>
        <t>Last year audited (30 June 2025) comparative. Last year FS PDF attach na howay figure auto-boshano hoy nai — audited 2025 figure ekhane din.</t>
      </text>
    </comment>
    <comment ref="C42" authorId="0" shapeId="0">
      <text>
        <t>INK — 30 June 2026 amount ekhane boshan. Cell khali rekhe audit complete korun.</t>
      </text>
    </comment>
    <comment ref="D42" authorId="0" shapeId="0">
      <text>
        <t>Last year audited (30 June 2025) comparative. Last year FS PDF attach na howay figure auto-boshano hoy nai — audited 2025 figure ekhane din.</t>
      </text>
    </comment>
    <comment ref="C43" authorId="0" shapeId="0">
      <text>
        <t>INK — 30 June 2026 amount ekhane boshan. Cell khali rekhe audit complete korun.</t>
      </text>
    </comment>
    <comment ref="D43" authorId="0" shapeId="0">
      <text>
        <t>Last year audited (30 June 2025) comparative. Last year FS PDF attach na howay figure auto-boshano hoy nai — audited 2025 figure ekhane din.</t>
      </text>
    </comment>
    <comment ref="C44" authorId="0" shapeId="0">
      <text>
        <t>INK — 30 June 2026 amount ekhane boshan. Cell khali rekhe audit complete korun.</t>
      </text>
    </comment>
    <comment ref="D44" authorId="0" shapeId="0">
      <text>
        <t>Last year audited (30 June 2025) comparative. Last year FS PDF attach na howay figure auto-boshano hoy nai — audited 2025 figure ekhane din.</t>
      </text>
    </comment>
    <comment ref="C45" authorId="0" shapeId="0">
      <text>
        <t>INK — 30 June 2026 amount ekhane boshan. Cell khali rekhe audit complete korun.</t>
      </text>
    </comment>
    <comment ref="D45" authorId="0" shapeId="0">
      <text>
        <t>Last year audited (30 June 2025) comparative. Last year FS PDF attach na howay figure auto-boshano hoy nai — audited 2025 figure ekhane din.</t>
      </text>
    </comment>
    <comment ref="C46" authorId="0" shapeId="0">
      <text>
        <t>INK — 30 June 2026 amount ekhane boshan. Cell khali rekhe audit complete korun.</t>
      </text>
    </comment>
    <comment ref="D46" authorId="0" shapeId="0">
      <text>
        <t>Last year audited (30 June 2025) comparative. Last year FS PDF attach na howay figure auto-boshano hoy nai — audited 2025 figure ekhane din.</t>
      </text>
    </comment>
    <comment ref="C47" authorId="0" shapeId="0">
      <text>
        <t>INK — 30 June 2026 amount ekhane boshan. Cell khali rekhe audit complete korun.</t>
      </text>
    </comment>
    <comment ref="D47" authorId="0" shapeId="0">
      <text>
        <t>Last year audited (30 June 2025) comparative. Last year FS PDF attach na howay figure auto-boshano hoy nai — audited 2025 figure ekhane din.</t>
      </text>
    </comment>
    <comment ref="C48" authorId="0" shapeId="0">
      <text>
        <t>INK — 30 June 2026 amount ekhane boshan. Cell khali rekhe audit complete korun.</t>
      </text>
    </comment>
    <comment ref="D48" authorId="0" shapeId="0">
      <text>
        <t>Last year audited (30 June 2025) comparative. Last year FS PDF attach na howay figure auto-boshano hoy nai — audited 2025 figure ekhane din.</t>
      </text>
    </comment>
    <comment ref="C49" authorId="0" shapeId="0">
      <text>
        <t>INK — 30 June 2026 amount ekhane boshan. Cell khali rekhe audit complete korun.</t>
      </text>
    </comment>
    <comment ref="D49" authorId="0" shapeId="0">
      <text>
        <t>Last year audited (30 June 2025) comparative. Last year FS PDF attach na howay figure auto-boshano hoy nai — audited 2025 figure ekhane din.</t>
      </text>
    </comment>
    <comment ref="D50" authorId="0" shapeId="0">
      <text>
        <t>Last year audited (30 June 2025) comparative. Last year FS PDF attach na howay figure auto-boshano hoy nai — audited 2025 figure ekhane din.</t>
      </text>
    </comment>
    <comment ref="C51" authorId="0" shapeId="0">
      <text>
        <t>INK — 30 June 2026 amount ekhane boshan. Cell khali rekhe audit complete korun.</t>
      </text>
    </comment>
    <comment ref="D51" authorId="0" shapeId="0">
      <text>
        <t>Last year audited (30 June 2025) comparative. Last year FS PDF attach na howay figure auto-boshano hoy nai — audited 2025 figure ekhane din.</t>
      </text>
    </comment>
    <comment ref="C52" authorId="0" shapeId="0">
      <text>
        <t>INK — 30 June 2026 amount ekhane boshan. Cell khali rekhe audit complete korun.</t>
      </text>
    </comment>
    <comment ref="D52" authorId="0" shapeId="0">
      <text>
        <t>Last year audited (30 June 2025) comparative. Last year FS PDF attach na howay figure auto-boshano hoy nai — audited 2025 figure ekhane din.</t>
      </text>
    </comment>
  </commentList>
</comments>
</file>

<file path=xl/comments/comment10.xml><?xml version="1.0" encoding="utf-8"?>
<comments xmlns="http://schemas.openxmlformats.org/spreadsheetml/2006/main">
  <authors>
    <author>Rahman Anis &amp; Co.</author>
    <author>RAC</author>
  </authors>
  <commentList>
    <comment ref="C13" authorId="0" shapeId="0">
      <text>
        <t>INK — 30 June 2026 amount ekhane boshan. Cell khali rekhe audit complete korun.</t>
      </text>
    </comment>
    <comment ref="D13" authorId="0" shapeId="0">
      <text>
        <t>Last year audited (30 June 2025) comparative. Last year FS PDF attach na howay figure auto-boshano hoy nai — audited 2025 figure ekhane din.</t>
      </text>
    </comment>
    <comment ref="C18" authorId="0" shapeId="0">
      <text>
        <t>INK — 30 June 2026 amount ekhane boshan. Cell khali rekhe audit complete korun.</t>
      </text>
    </comment>
    <comment ref="D18" authorId="0" shapeId="0">
      <text>
        <t>Last year audited (30 June 2025) comparative. Last year FS PDF attach na howay figure auto-boshano hoy nai — audited 2025 figure ekhane din.</t>
      </text>
    </comment>
    <comment ref="C19" authorId="0" shapeId="0">
      <text>
        <t>INK — 30 June 2026 amount ekhane boshan. Cell khali rekhe audit complete korun.</t>
      </text>
    </comment>
    <comment ref="D19" authorId="0" shapeId="0">
      <text>
        <t>Last year audited (30 June 2025) comparative. Last year FS PDF attach na howay figure auto-boshano hoy nai — audited 2025 figure ekhane din.</t>
      </text>
    </comment>
    <comment ref="C21" authorId="1" shapeId="0">
      <text>
        <t>Enter as 0.275 for 27.5%. Confirm applicable rate (listed/unlisted, rebate).</t>
      </text>
    </comment>
    <comment ref="D21" authorId="0" shapeId="0">
      <text>
        <t>Last year audited (30 June 2025) comparative. Last year FS PDF attach na howay figure auto-boshano hoy nai — audited 2025 figure ekhane din.</t>
      </text>
    </comment>
    <comment ref="C23" authorId="0" shapeId="0">
      <text>
        <t>INK — 30 June 2026 amount ekhane boshan. Cell khali rekhe audit complete korun.</t>
      </text>
    </comment>
    <comment ref="D23" authorId="0" shapeId="0">
      <text>
        <t>Last year audited (30 June 2025) comparative. Last year FS PDF attach na howay figure auto-boshano hoy nai — audited 2025 figure ekhane din.</t>
      </text>
    </comment>
    <comment ref="C24" authorId="0" shapeId="0">
      <text>
        <t>INK — 30 June 2026 amount ekhane boshan. Cell khali rekhe audit complete korun.</t>
      </text>
    </comment>
    <comment ref="D24" authorId="0" shapeId="0">
      <text>
        <t>Last year audited (30 June 2025) comparative. Last year FS PDF attach na howay figure auto-boshano hoy nai — audited 2025 figure ekhane din.</t>
      </text>
    </comment>
    <comment ref="C28" authorId="0" shapeId="0">
      <text>
        <t>INK — 30 June 2026 amount ekhane boshan. Cell khali rekhe audit complete korun.</t>
      </text>
    </comment>
    <comment ref="D28" authorId="0" shapeId="0">
      <text>
        <t>Last year audited (30 June 2025) comparative. Last year FS PDF attach na howay figure auto-boshano hoy nai — audited 2025 figure ekhane din.</t>
      </text>
    </comment>
    <comment ref="C31" authorId="0" shapeId="0">
      <text>
        <t>INK — 30 June 2026 amount ekhane boshan. Cell khali rekhe audit complete korun.</t>
      </text>
    </comment>
    <comment ref="D31" authorId="0" shapeId="0">
      <text>
        <t>Last year audited (30 June 2025) comparative. Last year FS PDF attach na howay figure auto-boshano hoy nai — audited 2025 figure ekhane din.</t>
      </text>
    </comment>
    <comment ref="C33" authorId="0" shapeId="0">
      <text>
        <t>INK — 30 June 2026 amount ekhane boshan. Cell khali rekhe audit complete korun.</t>
      </text>
    </comment>
    <comment ref="D33" authorId="0" shapeId="0">
      <text>
        <t>Last year audited (30 June 2025) comparative. Last year FS PDF attach na howay figure auto-boshano hoy nai — audited 2025 figure ekhane din.</t>
      </text>
    </comment>
    <comment ref="C38" authorId="0" shapeId="0">
      <text>
        <t>INK — 30 June 2026 amount ekhane boshan. Cell khali rekhe audit complete korun.</t>
      </text>
    </comment>
    <comment ref="D38" authorId="0" shapeId="0">
      <text>
        <t>Last year audited (30 June 2025) comparative. Last year FS PDF attach na howay figure auto-boshano hoy nai — audited 2025 figure ekhane din.</t>
      </text>
    </comment>
    <comment ref="C40" authorId="0" shapeId="0">
      <text>
        <t>INK — 30 June 2026 amount ekhane boshan. Cell khali rekhe audit complete korun.</t>
      </text>
    </comment>
    <comment ref="D40" authorId="0" shapeId="0">
      <text>
        <t>Last year audited (30 June 2025) comparative. Last year FS PDF attach na howay figure auto-boshano hoy nai — audited 2025 figure ekhane din.</t>
      </text>
    </comment>
    <comment ref="C44" authorId="0" shapeId="0">
      <text>
        <t>INK — 30 June 2026 amount ekhane boshan. Cell khali rekhe audit complete korun.</t>
      </text>
    </comment>
    <comment ref="D44" authorId="0" shapeId="0">
      <text>
        <t>Last year audited (30 June 2025) comparative. Last year FS PDF attach na howay figure auto-boshano hoy nai — audited 2025 figure ekhane din.</t>
      </text>
    </comment>
    <comment ref="C46" authorId="0" shapeId="0">
      <text>
        <t>INK — 30 June 2026 amount ekhane boshan. Cell khali rekhe audit complete korun.</t>
      </text>
    </comment>
    <comment ref="D46" authorId="0" shapeId="0">
      <text>
        <t>Last year audited (30 June 2025) comparative. Last year FS PDF attach na howay figure auto-boshano hoy nai — audited 2025 figure ekhane din.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tabColor rgb="00C4A35A"/>
    <outlinePr summaryBelow="1" summaryRight="1"/>
    <pageSetUpPr fitToPage="1"/>
  </sheetPr>
  <dimension ref="B1:E54"/>
  <sheetViews>
    <sheetView showGridLines="0" zoomScale="100" workbookViewId="0">
      <selection activeCell="A1" sqref="A1"/>
    </sheetView>
  </sheetViews>
  <sheetFormatPr baseColWidth="8" defaultRowHeight="15"/>
  <cols>
    <col width="3" customWidth="1" min="1" max="1"/>
    <col width="28" customWidth="1" min="2" max="2"/>
    <col width="72" customWidth="1" min="3" max="3"/>
    <col width="22" customWidth="1" min="4" max="4"/>
    <col width="22" customWidth="1" min="5" max="5"/>
    <col width="18" customWidth="1" min="6" max="6"/>
  </cols>
  <sheetData>
    <row r="1">
      <c r="B1" s="1" t="inlineStr">
        <is>
          <t>RAHMAN ANIS &amp; CO.  •  CHARTERED ACCOUNTANTS</t>
        </is>
      </c>
    </row>
    <row r="2">
      <c r="B2" s="2" t="inlineStr">
        <is>
          <t>Statutory financial statements pack  |  Modern Pharmaceuticals Limited</t>
        </is>
      </c>
    </row>
    <row r="3">
      <c r="B3" s="3" t="inlineStr">
        <is>
          <t>Year ended 30 June 2026  (comparative: 30 June 2025)</t>
        </is>
      </c>
    </row>
    <row r="5">
      <c r="B5" s="4" t="inlineStr">
        <is>
          <t>KI KAJ KORA HOYECHE / WHAT THIS FILE IS</t>
        </is>
      </c>
    </row>
    <row r="6">
      <c r="B6" s="5" t="inlineStr">
        <is>
          <t>Ei Excel ta Rahman Anis &amp; Co.-er typical Bangladesh private-limited-company statutory audit financial statements format e toiri. Modern Pharmaceuticals Limited-er 30 June 2026 statutory audit-er jonno 2026 column (YELLOW / INK) khali rakha hoyeche — apni amount boshaben. 2025 column (BLUE) last year audited comparative-er jonno ready.
IMPORTANT: Last year (YE 30 June 2025) audited PDF ei session-e attach/upload hoy nai. Tai 2025 figure ami guess/fake boshai nai. Apnar kache last year FS thakle BLUE cells-e audited 2025 amount boshan; 2026 YELLOW cells-e current year amount boshan. GREEN cells formula — type korben na.
Last year PDF dile ami BLUE column-e audited figure boshiye updated file dite parbo.</t>
        </is>
      </c>
    </row>
    <row r="7"/>
    <row r="8"/>
    <row r="9"/>
    <row r="10"/>
    <row r="11"/>
    <row r="12"/>
    <row r="14" ht="22" customHeight="1">
      <c r="B14" s="6" t="inlineStr">
        <is>
          <t>Sheet</t>
        </is>
      </c>
      <c r="C14" s="6" t="inlineStr">
        <is>
          <t>Ki ache</t>
        </is>
      </c>
      <c r="D14" s="6" t="inlineStr">
        <is>
          <t>Apni ki korben</t>
        </is>
      </c>
    </row>
    <row r="15" ht="18" customHeight="1">
      <c r="B15" s="7" t="inlineStr">
        <is>
          <t>00_ReadMe</t>
        </is>
      </c>
      <c r="C15" s="8" t="inlineStr">
        <is>
          <t>Ei instruction</t>
        </is>
      </c>
      <c r="D15" s="8" t="inlineStr">
        <is>
          <t>Porun</t>
        </is>
      </c>
    </row>
    <row r="16" ht="18" customHeight="1">
      <c r="B16" s="9" t="inlineStr">
        <is>
          <t>01_Cover</t>
        </is>
      </c>
      <c r="C16" s="10" t="inlineStr">
        <is>
          <t>Firm + client cover page</t>
        </is>
      </c>
      <c r="D16" s="10" t="inlineStr">
        <is>
          <t>Date / DVC / partner name</t>
        </is>
      </c>
    </row>
    <row r="17" ht="18" customHeight="1">
      <c r="B17" s="7" t="inlineStr">
        <is>
          <t>02_Contents</t>
        </is>
      </c>
      <c r="C17" s="8" t="inlineStr">
        <is>
          <t>Index of statements &amp; notes</t>
        </is>
      </c>
      <c r="D17" s="8" t="inlineStr">
        <is>
          <t>Check</t>
        </is>
      </c>
    </row>
    <row r="18" ht="18" customHeight="1">
      <c r="B18" s="9" t="inlineStr">
        <is>
          <t>03_Auditors_Report</t>
        </is>
      </c>
      <c r="C18" s="10" t="inlineStr">
        <is>
          <t>ISA 700 + Companies Act 1994 report (draft)</t>
        </is>
      </c>
      <c r="D18" s="10" t="inlineStr">
        <is>
          <t>Opinion, KAMs if any, date, DVC, signature</t>
        </is>
      </c>
    </row>
    <row r="19" ht="18" customHeight="1">
      <c r="B19" s="7" t="inlineStr">
        <is>
          <t>04_SOFP</t>
        </is>
      </c>
      <c r="C19" s="8" t="inlineStr">
        <is>
          <t>Statement of Financial Position</t>
        </is>
      </c>
      <c r="D19" s="8" t="inlineStr">
        <is>
          <t>YELLOW 2026 amounts; BLUE 2025</t>
        </is>
      </c>
    </row>
    <row r="20" ht="18" customHeight="1">
      <c r="B20" s="9" t="inlineStr">
        <is>
          <t>05_SOPL</t>
        </is>
      </c>
      <c r="C20" s="10" t="inlineStr">
        <is>
          <t>Statement of Profit or Loss and OCI</t>
        </is>
      </c>
      <c r="D20" s="10" t="inlineStr">
        <is>
          <t>YELLOW 2026; BLUE 2025</t>
        </is>
      </c>
    </row>
    <row r="21" ht="18" customHeight="1">
      <c r="B21" s="7" t="inlineStr">
        <is>
          <t>06_SOCIE</t>
        </is>
      </c>
      <c r="C21" s="8" t="inlineStr">
        <is>
          <t>Statement of Changes in Equity</t>
        </is>
      </c>
      <c r="D21" s="8" t="inlineStr">
        <is>
          <t>Opening/dividend; PAT auto</t>
        </is>
      </c>
    </row>
    <row r="22" ht="18" customHeight="1">
      <c r="B22" s="9" t="inlineStr">
        <is>
          <t>07_SOCF</t>
        </is>
      </c>
      <c r="C22" s="10" t="inlineStr">
        <is>
          <t>Statement of Cash Flows (indirect)</t>
        </is>
      </c>
      <c r="D22" s="10" t="inlineStr">
        <is>
          <t>Working-capital &amp; extra CF inks</t>
        </is>
      </c>
    </row>
    <row r="23" ht="18" customHeight="1">
      <c r="B23" s="7" t="inlineStr">
        <is>
          <t>08_Notes_Entity_Policies</t>
        </is>
      </c>
      <c r="C23" s="8" t="inlineStr">
        <is>
          <t>Notes 1–3: entity, basis, accounting policies</t>
        </is>
      </c>
      <c r="D23" s="8" t="inlineStr">
        <is>
          <t>Client-specific facts confirm</t>
        </is>
      </c>
    </row>
    <row r="24" ht="18" customHeight="1">
      <c r="B24" s="9" t="inlineStr">
        <is>
          <t>09_Notes_SOFP</t>
        </is>
      </c>
      <c r="C24" s="10" t="inlineStr">
        <is>
          <t>Notes 4–23: SOFP line notes</t>
        </is>
      </c>
      <c r="D24" s="10" t="inlineStr">
        <is>
          <t>Breakdowns — ink</t>
        </is>
      </c>
    </row>
    <row r="25" ht="18" customHeight="1">
      <c r="B25" s="7" t="inlineStr">
        <is>
          <t>10_Notes_P&amp;L</t>
        </is>
      </c>
      <c r="C25" s="8" t="inlineStr">
        <is>
          <t>Notes 24–33: P&amp;L notes + EPS</t>
        </is>
      </c>
      <c r="D25" s="8" t="inlineStr">
        <is>
          <t>Breakdowns — ink</t>
        </is>
      </c>
    </row>
    <row r="26" ht="18" customHeight="1">
      <c r="B26" s="9" t="inlineStr">
        <is>
          <t>11_Notes_Other</t>
        </is>
      </c>
      <c r="C26" s="10" t="inlineStr">
        <is>
          <t>Notes 34–39: related party, contingent, employees, events</t>
        </is>
      </c>
      <c r="D26" s="10" t="inlineStr">
        <is>
          <t>Complete narratives</t>
        </is>
      </c>
    </row>
    <row r="27" ht="18" customHeight="1">
      <c r="B27" s="7" t="inlineStr">
        <is>
          <t>12_PPE_Schedule</t>
        </is>
      </c>
      <c r="C27" s="8" t="inlineStr">
        <is>
          <t>PPE movement (cost / dep / WDV) — Annexure A</t>
        </is>
      </c>
      <c r="D27" s="8" t="inlineStr">
        <is>
          <t>Opening from LY; addition/charge 2026</t>
        </is>
      </c>
    </row>
    <row r="28" ht="18" customHeight="1">
      <c r="B28" s="9" t="inlineStr">
        <is>
          <t>13_COGS_Factory</t>
        </is>
      </c>
      <c r="C28" s="10" t="inlineStr">
        <is>
          <t>Cost of sales &amp; factory overhead schedule</t>
        </is>
      </c>
      <c r="D28" s="10" t="inlineStr">
        <is>
          <t>Ink 2026; LY 2025</t>
        </is>
      </c>
    </row>
    <row r="29" ht="18" customHeight="1">
      <c r="B29" s="7" t="inlineStr">
        <is>
          <t>14_Admin_Selling</t>
        </is>
      </c>
      <c r="C29" s="8" t="inlineStr">
        <is>
          <t>Administrative &amp; selling expense schedules</t>
        </is>
      </c>
      <c r="D29" s="8" t="inlineStr">
        <is>
          <t>Ink 2026; LY 2025</t>
        </is>
      </c>
    </row>
    <row r="30" ht="18" customHeight="1">
      <c r="B30" s="9" t="inlineStr">
        <is>
          <t>15_Tax_WPPF</t>
        </is>
      </c>
      <c r="C30" s="10" t="inlineStr">
        <is>
          <t>Current tax, deferred tax, WPPF working</t>
        </is>
      </c>
      <c r="D30" s="10" t="inlineStr">
        <is>
          <t>Ink; some formulas</t>
        </is>
      </c>
    </row>
    <row r="31" ht="18" customHeight="1">
      <c r="B31" s="7" t="inlineStr">
        <is>
          <t>16_Balance_Check</t>
        </is>
      </c>
      <c r="C31" s="8" t="inlineStr">
        <is>
          <t>SOFP balance check + P&amp;L to RE + CF tie</t>
        </is>
      </c>
      <c r="D31" s="8" t="inlineStr">
        <is>
          <t>Must be NIL difference</t>
        </is>
      </c>
    </row>
    <row r="33">
      <c r="B33" s="4" t="inlineStr">
        <is>
          <t>HOW TO COMPLETE (5 steps)</t>
        </is>
      </c>
    </row>
    <row r="34">
      <c r="B34" s="11" t="inlineStr">
        <is>
          <t>1) 12_PPE_Schedule: 2025 opening (BLUE) last year PPE note theke; 2026 addition/disposal/charge YELLOW.</t>
        </is>
      </c>
    </row>
    <row r="35">
      <c r="B35" s="11" t="inlineStr">
        <is>
          <t>2) 13_COGS_Factory + 14_Admin_Selling + 15_Tax_WPPF: 2026 YELLOW, 2025 BLUE. Totals auto-jabe 05_SOPL / 10_Notes_P&amp;L e.</t>
        </is>
      </c>
    </row>
    <row r="36">
      <c r="B36" s="11" t="inlineStr">
        <is>
          <t>3) 09_Notes_SOFP: baki SOFP breakdown (inventory, receivable, cash, loans, payables, share capital). Totals auto-jabe 04_SOFP e.</t>
        </is>
      </c>
    </row>
    <row r="37">
      <c r="B37" s="11" t="inlineStr">
        <is>
          <t>4) 06_SOCIE (dividend) + 07_SOCF extra inks (tax paid, capex, loan draw/repay). Check 16_Balance_Check = NIL.</t>
        </is>
      </c>
    </row>
    <row r="38">
      <c r="B38" s="11" t="inlineStr">
        <is>
          <t>5) 03_Auditors_Report e date, DVC, engagement partner; Cover print kore sign.</t>
        </is>
      </c>
    </row>
    <row r="40">
      <c r="B40" s="4" t="inlineStr">
        <is>
          <t>FIRM / CLIENT (as used in this pack)</t>
        </is>
      </c>
    </row>
    <row r="41">
      <c r="B41" s="12" t="inlineStr">
        <is>
          <t>Auditor</t>
        </is>
      </c>
      <c r="C41" s="13" t="inlineStr">
        <is>
          <t>Rahman Anis &amp; Co., Chartered Accountants</t>
        </is>
      </c>
    </row>
    <row r="42">
      <c r="B42" s="12" t="inlineStr">
        <is>
          <t>Head office</t>
        </is>
      </c>
      <c r="C42" s="13" t="inlineStr">
        <is>
          <t>Azad Center, Suit # 13/A-1, Floor-13, 55 Purana Paltan, Dhaka-1000</t>
        </is>
      </c>
    </row>
    <row r="43">
      <c r="B43" s="12" t="inlineStr">
        <is>
          <t>Branch</t>
        </is>
      </c>
      <c r="C43" s="13" t="inlineStr">
        <is>
          <t>EDB Trade Center, 93 Kazi Nazrul Islam Avenue, Kawran Bazar, Dhaka-1215</t>
        </is>
      </c>
    </row>
    <row r="44">
      <c r="B44" s="12" t="inlineStr">
        <is>
          <t>Email / phone</t>
        </is>
      </c>
      <c r="C44" s="13" t="inlineStr">
        <is>
          <t>info@rahmananis.com  |  +8801711-704808, +8801722-690128, +8801712-797042</t>
        </is>
      </c>
    </row>
    <row r="45">
      <c r="B45" s="12" t="inlineStr">
        <is>
          <t>Client</t>
        </is>
      </c>
      <c r="C45" s="13" t="inlineStr">
        <is>
          <t>Modern Pharmaceuticals Limited</t>
        </is>
      </c>
    </row>
    <row r="46">
      <c r="B46" s="12" t="inlineStr">
        <is>
          <t>Registered office (public listing)</t>
        </is>
      </c>
      <c r="C46" s="13" t="inlineStr">
        <is>
          <t>51/51-A (3rd Floor), Purana Paltan, Dhaka-1000, Bangladesh</t>
        </is>
      </c>
    </row>
    <row r="47">
      <c r="B47" s="12" t="inlineStr">
        <is>
          <t>Year end</t>
        </is>
      </c>
      <c r="C47" s="13" t="inlineStr">
        <is>
          <t>30 June 2026 (comparative 30 June 2025)</t>
        </is>
      </c>
    </row>
    <row r="48">
      <c r="B48" s="12" t="inlineStr">
        <is>
          <t>Framework</t>
        </is>
      </c>
      <c r="C48" s="13" t="inlineStr">
        <is>
          <t>IFRSs as adopted in Bangladesh; Companies Act 1994 (as amended); Income Tax Act 2023</t>
        </is>
      </c>
    </row>
    <row r="49">
      <c r="B49" s="12" t="inlineStr">
        <is>
          <t>Currency</t>
        </is>
      </c>
      <c r="C49" s="13" t="inlineStr">
        <is>
          <t>Bangladeshi Taka (BDT) — amounts in Taka, no decimal unless noted</t>
        </is>
      </c>
    </row>
    <row r="52">
      <c r="B52" s="14" t="inlineStr">
        <is>
          <t>Disclaimer: Ei pack ekta working / typing sheet. Last year audited figures chara comparative column incomplete. Opinion, DVC, KAMs, going-concern, subsequent events, related party o contingent disclosure engagement team confirm kore final korbe. Yellow/blue cells chhara green formula overwrite korben na.</t>
        </is>
      </c>
    </row>
    <row r="53"/>
    <row r="54"/>
  </sheetData>
  <mergeCells count="19">
    <mergeCell ref="C44:E44"/>
    <mergeCell ref="C41:E41"/>
    <mergeCell ref="C47:E47"/>
    <mergeCell ref="C43:E43"/>
    <mergeCell ref="B36:E36"/>
    <mergeCell ref="B6:E12"/>
    <mergeCell ref="C46:E46"/>
    <mergeCell ref="B35:E35"/>
    <mergeCell ref="C48:E48"/>
    <mergeCell ref="B3:E3"/>
    <mergeCell ref="C49:E49"/>
    <mergeCell ref="B52:E54"/>
    <mergeCell ref="B2:E2"/>
    <mergeCell ref="C42:E42"/>
    <mergeCell ref="B1:E1"/>
    <mergeCell ref="C45:E45"/>
    <mergeCell ref="B38:E38"/>
    <mergeCell ref="B37:E37"/>
    <mergeCell ref="B34:E34"/>
  </mergeCells>
  <pageMargins left="0.5" right="0.5" top="0.7" bottom="0.7" header="0.3" footer="0.3"/>
  <pageSetup orientation="portrait" paperSize="9" fitToHeight="0" fitToWidth="1"/>
  <headerFooter>
    <oddHeader>&amp;LRahman Anis &amp; Co._x000a_Chartered Accountants&amp;RModern Pharmaceuticals Limited_x000a_Year ended 30 June 2026</oddHeader>
    <oddFooter>&amp;LConfidential — Statutory audit working / FS pack&amp;CPage &amp;P of &amp;N&amp;RRead me</oddFooter>
    <evenHeader/>
    <evenFooter/>
    <firstHeader/>
    <firstFooter/>
  </headerFooter>
</worksheet>
</file>

<file path=xl/worksheets/sheet2.xml><?xml version="1.0" encoding="utf-8"?>
<worksheet xmlns="http://schemas.openxmlformats.org/spreadsheetml/2006/main">
  <sheetPr>
    <tabColor rgb="001B365D"/>
    <outlinePr summaryBelow="1" summaryRight="1"/>
    <pageSetUpPr fitToPage="1"/>
  </sheetPr>
  <dimension ref="A1:G47"/>
  <sheetViews>
    <sheetView showGridLines="0" zoomScale="100" workbookViewId="0">
      <selection activeCell="A1" sqref="A1"/>
    </sheetView>
  </sheetViews>
  <sheetFormatPr baseColWidth="8" defaultRowHeight="15"/>
  <cols>
    <col width="8" customWidth="1" min="1" max="1"/>
    <col width="18" customWidth="1" min="2" max="2"/>
    <col width="22" customWidth="1" min="3" max="3"/>
    <col width="22" customWidth="1" min="4" max="4"/>
    <col width="22" customWidth="1" min="5" max="5"/>
    <col width="22" customWidth="1" min="6" max="6"/>
    <col width="18" customWidth="1" min="7" max="7"/>
  </cols>
  <sheetData>
    <row r="1">
      <c r="A1" s="15" t="n"/>
      <c r="B1" s="15" t="n"/>
      <c r="C1" s="15" t="n"/>
      <c r="D1" s="15" t="n"/>
      <c r="E1" s="15" t="n"/>
      <c r="F1" s="15" t="n"/>
      <c r="G1" s="15" t="n"/>
    </row>
    <row r="2">
      <c r="A2" s="15" t="n"/>
      <c r="B2" s="15" t="n"/>
      <c r="C2" s="15" t="n"/>
      <c r="D2" s="15" t="n"/>
      <c r="E2" s="15" t="n"/>
      <c r="F2" s="15" t="n"/>
      <c r="G2" s="15" t="n"/>
    </row>
    <row r="3">
      <c r="A3" s="15" t="n"/>
      <c r="B3" s="15" t="n"/>
      <c r="C3" s="15" t="n"/>
      <c r="D3" s="15" t="n"/>
      <c r="E3" s="15" t="n"/>
      <c r="F3" s="15" t="n"/>
      <c r="G3" s="15" t="n"/>
    </row>
    <row r="4">
      <c r="A4" s="16" t="n"/>
      <c r="B4" s="16" t="n"/>
      <c r="C4" s="16" t="n"/>
      <c r="D4" s="16" t="n"/>
      <c r="E4" s="16" t="n"/>
      <c r="F4" s="16" t="n"/>
      <c r="G4" s="16" t="n"/>
    </row>
    <row r="5">
      <c r="A5" s="16" t="n"/>
      <c r="B5" s="17" t="inlineStr">
        <is>
          <t>RAHMAN ANIS &amp; CO.</t>
        </is>
      </c>
      <c r="G5" s="16" t="n"/>
    </row>
    <row r="6">
      <c r="A6" s="16" t="n"/>
      <c r="B6" s="18" t="inlineStr">
        <is>
          <t>CHARTERED ACCOUNTANTS</t>
        </is>
      </c>
      <c r="G6" s="16" t="n"/>
    </row>
    <row r="7">
      <c r="A7" s="16" t="n"/>
      <c r="B7" s="19" t="inlineStr">
        <is>
          <t>Azad Center, Suit # 13/A-1, Floor-13, 55 Purana Paltan, Dhaka-1000, Bangladesh</t>
        </is>
      </c>
      <c r="G7" s="16" t="n"/>
    </row>
    <row r="8">
      <c r="A8" s="16" t="n"/>
      <c r="B8" s="19" t="inlineStr">
        <is>
          <t>Tel: +8801711-704808  •  info@rahmananis.com  •  www.rahmananis.com</t>
        </is>
      </c>
      <c r="G8" s="16" t="n"/>
    </row>
    <row r="9">
      <c r="A9" s="16" t="n"/>
      <c r="B9" s="16" t="n"/>
      <c r="C9" s="16" t="n"/>
      <c r="D9" s="16" t="n"/>
      <c r="E9" s="16" t="n"/>
      <c r="F9" s="16" t="n"/>
      <c r="G9" s="16" t="n"/>
    </row>
    <row r="10">
      <c r="A10" s="16" t="n"/>
      <c r="B10" s="20" t="n"/>
      <c r="C10" s="20" t="n"/>
      <c r="D10" s="20" t="n"/>
      <c r="E10" s="20" t="n"/>
      <c r="F10" s="20" t="n"/>
      <c r="G10" s="16" t="n"/>
    </row>
    <row r="11">
      <c r="A11" s="16" t="n"/>
      <c r="B11" s="16" t="n"/>
      <c r="C11" s="16" t="n"/>
      <c r="D11" s="16" t="n"/>
      <c r="E11" s="16" t="n"/>
      <c r="F11" s="16" t="n"/>
      <c r="G11" s="16" t="n"/>
    </row>
    <row r="12">
      <c r="A12" s="16" t="n"/>
      <c r="B12" s="16" t="n"/>
      <c r="C12" s="16" t="n"/>
      <c r="D12" s="16" t="n"/>
      <c r="E12" s="16" t="n"/>
      <c r="F12" s="16" t="n"/>
      <c r="G12" s="16" t="n"/>
    </row>
    <row r="13">
      <c r="A13" s="16" t="n"/>
      <c r="B13" s="21" t="inlineStr">
        <is>
          <t>INDEPENDENT AUDITOR'S REPORT</t>
        </is>
      </c>
      <c r="G13" s="16" t="n"/>
    </row>
    <row r="14">
      <c r="A14" s="16" t="n"/>
      <c r="B14" s="22" t="inlineStr">
        <is>
          <t>AND</t>
        </is>
      </c>
      <c r="G14" s="16" t="n"/>
    </row>
    <row r="15">
      <c r="A15" s="16" t="n"/>
      <c r="B15" s="21" t="inlineStr">
        <is>
          <t>AUDITED FINANCIAL STATEMENTS</t>
        </is>
      </c>
      <c r="G15" s="16" t="n"/>
    </row>
    <row r="16">
      <c r="A16" s="16" t="n"/>
      <c r="B16" s="16" t="n"/>
      <c r="C16" s="16" t="n"/>
      <c r="D16" s="16" t="n"/>
      <c r="E16" s="16" t="n"/>
      <c r="F16" s="16" t="n"/>
      <c r="G16" s="16" t="n"/>
    </row>
    <row r="17">
      <c r="A17" s="16" t="n"/>
      <c r="B17" s="16" t="n"/>
      <c r="C17" s="16" t="n"/>
      <c r="D17" s="16" t="n"/>
      <c r="E17" s="16" t="n"/>
      <c r="F17" s="16" t="n"/>
      <c r="G17" s="16" t="n"/>
    </row>
    <row r="18">
      <c r="A18" s="16" t="n"/>
      <c r="B18" s="23" t="inlineStr">
        <is>
          <t>MODERN PHARMACEUTICALS LIMITED</t>
        </is>
      </c>
      <c r="G18" s="16" t="n"/>
    </row>
    <row r="19">
      <c r="A19" s="16" t="n"/>
      <c r="B19" s="24" t="inlineStr">
        <is>
          <t>For the year ended 30 June 2026</t>
        </is>
      </c>
      <c r="G19" s="16" t="n"/>
    </row>
    <row r="20">
      <c r="A20" s="16" t="n"/>
      <c r="B20" s="16" t="n"/>
      <c r="C20" s="16" t="n"/>
      <c r="D20" s="16" t="n"/>
      <c r="E20" s="16" t="n"/>
      <c r="F20" s="16" t="n"/>
      <c r="G20" s="16" t="n"/>
    </row>
    <row r="21">
      <c r="A21" s="16" t="n"/>
      <c r="B21" s="16" t="n"/>
      <c r="C21" s="16" t="n"/>
      <c r="D21" s="16" t="n"/>
      <c r="E21" s="16" t="n"/>
      <c r="F21" s="16" t="n"/>
      <c r="G21" s="16" t="n"/>
    </row>
    <row r="22">
      <c r="A22" s="16" t="n"/>
      <c r="B22" s="25" t="inlineStr">
        <is>
          <t>Reporting entity</t>
        </is>
      </c>
      <c r="C22" s="26" t="inlineStr">
        <is>
          <t>Modern Pharmaceuticals Limited</t>
        </is>
      </c>
      <c r="G22" s="16" t="n"/>
    </row>
    <row r="23">
      <c r="A23" s="16" t="n"/>
      <c r="B23" s="25" t="inlineStr">
        <is>
          <t>Financial year</t>
        </is>
      </c>
      <c r="C23" s="26" t="inlineStr">
        <is>
          <t>1 July 2025 to 30 June 2026</t>
        </is>
      </c>
      <c r="G23" s="16" t="n"/>
    </row>
    <row r="24">
      <c r="A24" s="16" t="n"/>
      <c r="B24" s="25" t="inlineStr">
        <is>
          <t>Comparative</t>
        </is>
      </c>
      <c r="C24" s="26" t="inlineStr">
        <is>
          <t>Year ended 30 June 2025 (last year audited)</t>
        </is>
      </c>
      <c r="G24" s="16" t="n"/>
    </row>
    <row r="25">
      <c r="A25" s="16" t="n"/>
      <c r="B25" s="25" t="inlineStr">
        <is>
          <t>Framework</t>
        </is>
      </c>
      <c r="C25" s="26" t="inlineStr">
        <is>
          <t>IFRSs; Companies Act 1994 (as amended); Income Tax Act 2023</t>
        </is>
      </c>
      <c r="G25" s="16" t="n"/>
    </row>
    <row r="26">
      <c r="A26" s="16" t="n"/>
      <c r="B26" s="25" t="inlineStr">
        <is>
          <t>Auditor</t>
        </is>
      </c>
      <c r="C26" s="26" t="inlineStr">
        <is>
          <t>Rahman Anis &amp; Co., Chartered Accountants  (Statutory auditor)</t>
        </is>
      </c>
      <c r="G26" s="16" t="n"/>
    </row>
    <row r="27">
      <c r="A27" s="16" t="n"/>
      <c r="B27" s="25" t="inlineStr">
        <is>
          <t>Opinion type</t>
        </is>
      </c>
      <c r="C27" s="27" t="inlineStr">
        <is>
          <t>[Draft — unmodified / qualified — engagement partner to complete]</t>
        </is>
      </c>
      <c r="G27" s="16" t="n"/>
    </row>
    <row r="28">
      <c r="A28" s="16" t="n"/>
      <c r="B28" s="25" t="inlineStr">
        <is>
          <t>Report date</t>
        </is>
      </c>
      <c r="C28" s="27" t="inlineStr">
        <is>
          <t>[                    ]</t>
        </is>
      </c>
      <c r="G28" s="16" t="n"/>
    </row>
    <row r="29">
      <c r="A29" s="16" t="n"/>
      <c r="B29" s="25" t="inlineStr">
        <is>
          <t>DVC</t>
        </is>
      </c>
      <c r="C29" s="27" t="inlineStr">
        <is>
          <t>[                    ]</t>
        </is>
      </c>
      <c r="G29" s="16" t="n"/>
    </row>
    <row r="30">
      <c r="A30" s="16" t="n"/>
      <c r="B30" s="25" t="inlineStr">
        <is>
          <t>Engagement partner</t>
        </is>
      </c>
      <c r="C30" s="27" t="inlineStr">
        <is>
          <t>[                    ]  FCA</t>
        </is>
      </c>
      <c r="G30" s="16" t="n"/>
    </row>
    <row r="31">
      <c r="A31" s="16" t="n"/>
      <c r="B31" s="16" t="n"/>
      <c r="C31" s="16" t="n"/>
      <c r="D31" s="16" t="n"/>
      <c r="E31" s="16" t="n"/>
      <c r="F31" s="16" t="n"/>
      <c r="G31" s="16" t="n"/>
    </row>
    <row r="32">
      <c r="A32" s="16" t="n"/>
      <c r="B32" s="28" t="inlineStr">
        <is>
          <t>2026 amounts: INK only (yellow cells throughout this workbook).  2025 amounts: last year audited balances — blue cells.  Last year FS PDF was not provided in this working session; blue cells are left blank for insertion of audited 2025 figures.</t>
        </is>
      </c>
      <c r="G32" s="16" t="n"/>
    </row>
    <row r="33">
      <c r="A33" s="16" t="n"/>
      <c r="G33" s="16" t="n"/>
    </row>
    <row r="34">
      <c r="A34" s="16" t="n"/>
      <c r="G34" s="16" t="n"/>
    </row>
    <row r="35">
      <c r="A35" s="16" t="n"/>
      <c r="B35" s="16" t="n"/>
      <c r="C35" s="16" t="n"/>
      <c r="D35" s="16" t="n"/>
      <c r="E35" s="16" t="n"/>
      <c r="F35" s="16" t="n"/>
      <c r="G35" s="16" t="n"/>
    </row>
    <row r="36">
      <c r="A36" s="16" t="n"/>
      <c r="B36" s="16" t="n"/>
      <c r="C36" s="16" t="n"/>
      <c r="D36" s="16" t="n"/>
      <c r="E36" s="16" t="n"/>
      <c r="F36" s="16" t="n"/>
      <c r="G36" s="16" t="n"/>
    </row>
    <row r="37">
      <c r="A37" s="16" t="n"/>
      <c r="B37" s="16" t="n"/>
      <c r="C37" s="16" t="n"/>
      <c r="D37" s="16" t="n"/>
      <c r="E37" s="16" t="n"/>
      <c r="F37" s="16" t="n"/>
      <c r="G37" s="16" t="n"/>
    </row>
    <row r="38">
      <c r="A38" s="16" t="n"/>
      <c r="B38" s="16" t="n"/>
      <c r="C38" s="16" t="n"/>
      <c r="D38" s="16" t="n"/>
      <c r="E38" s="16" t="n"/>
      <c r="F38" s="16" t="n"/>
      <c r="G38" s="16" t="n"/>
    </row>
    <row r="39">
      <c r="A39" s="16" t="n"/>
      <c r="B39" s="16" t="n"/>
      <c r="C39" s="16" t="n"/>
      <c r="D39" s="16" t="n"/>
      <c r="E39" s="16" t="n"/>
      <c r="F39" s="16" t="n"/>
      <c r="G39" s="16" t="n"/>
    </row>
    <row r="40">
      <c r="A40" s="16" t="n"/>
      <c r="B40" s="16" t="n"/>
      <c r="C40" s="16" t="n"/>
      <c r="D40" s="16" t="n"/>
      <c r="E40" s="16" t="n"/>
      <c r="F40" s="16" t="n"/>
      <c r="G40" s="16" t="n"/>
    </row>
    <row r="41">
      <c r="A41" s="16" t="n"/>
      <c r="B41" s="16" t="n"/>
      <c r="C41" s="16" t="n"/>
      <c r="D41" s="16" t="n"/>
      <c r="E41" s="16" t="n"/>
      <c r="F41" s="16" t="n"/>
      <c r="G41" s="16" t="n"/>
    </row>
    <row r="42">
      <c r="A42" s="16" t="n"/>
      <c r="B42" s="29" t="inlineStr">
        <is>
          <t>PRIVATE &amp; CONFIDENTIAL  •  FOR THE SHAREHOLDERS AND THE BOARD OF DIRECTORS</t>
        </is>
      </c>
      <c r="G42" s="16" t="n"/>
    </row>
    <row r="43">
      <c r="A43" s="16" t="n"/>
      <c r="B43" s="16" t="n"/>
      <c r="C43" s="16" t="n"/>
      <c r="D43" s="16" t="n"/>
      <c r="E43" s="16" t="n"/>
      <c r="F43" s="16" t="n"/>
      <c r="G43" s="16" t="n"/>
    </row>
    <row r="44">
      <c r="A44" s="16" t="n"/>
      <c r="B44" s="16" t="n"/>
      <c r="C44" s="16" t="n"/>
      <c r="D44" s="16" t="n"/>
      <c r="E44" s="16" t="n"/>
      <c r="F44" s="16" t="n"/>
      <c r="G44" s="16" t="n"/>
    </row>
    <row r="45">
      <c r="A45" s="16" t="n"/>
      <c r="B45" s="16" t="n"/>
      <c r="C45" s="16" t="n"/>
      <c r="D45" s="16" t="n"/>
      <c r="E45" s="16" t="n"/>
      <c r="F45" s="16" t="n"/>
      <c r="G45" s="16" t="n"/>
    </row>
    <row r="46">
      <c r="A46" s="15" t="n"/>
      <c r="B46" s="15" t="n"/>
      <c r="C46" s="15" t="n"/>
      <c r="D46" s="15" t="n"/>
      <c r="E46" s="15" t="n"/>
      <c r="F46" s="15" t="n"/>
      <c r="G46" s="15" t="n"/>
    </row>
    <row r="47">
      <c r="A47" s="15" t="n"/>
      <c r="B47" s="15" t="n"/>
      <c r="C47" s="15" t="n"/>
      <c r="D47" s="15" t="n"/>
      <c r="E47" s="15" t="n"/>
      <c r="F47" s="15" t="n"/>
      <c r="G47" s="15" t="n"/>
    </row>
  </sheetData>
  <mergeCells count="20">
    <mergeCell ref="B7:F7"/>
    <mergeCell ref="C23:F23"/>
    <mergeCell ref="B32:F34"/>
    <mergeCell ref="B18:F18"/>
    <mergeCell ref="C28:F28"/>
    <mergeCell ref="B42:F42"/>
    <mergeCell ref="C30:F30"/>
    <mergeCell ref="B14:F14"/>
    <mergeCell ref="B8:F8"/>
    <mergeCell ref="C24:F24"/>
    <mergeCell ref="B13:F13"/>
    <mergeCell ref="C26:F26"/>
    <mergeCell ref="B19:F19"/>
    <mergeCell ref="C29:F29"/>
    <mergeCell ref="C25:F25"/>
    <mergeCell ref="C22:F22"/>
    <mergeCell ref="B6:F6"/>
    <mergeCell ref="B15:F15"/>
    <mergeCell ref="B5:F5"/>
    <mergeCell ref="C27:F27"/>
  </mergeCells>
  <pageMargins left="0.5" right="0.5" top="0.7" bottom="0.7" header="0.3" footer="0.3"/>
  <pageSetup orientation="portrait" paperSize="9" fitToHeight="0" fitToWidth="1"/>
  <headerFooter>
    <oddHeader>&amp;LRahman Anis &amp; Co._x000a_Chartered Accountants&amp;RModern Pharmaceuticals Limited_x000a_Year ended 30 June 2026</oddHeader>
    <oddFooter>&amp;LConfidential — Statutory audit working / FS pack&amp;CPage &amp;P of &amp;N&amp;RCover</oddFooter>
    <evenHeader/>
    <evenFooter/>
    <firstHeader/>
    <firstFooter/>
  </headerFooter>
</worksheet>
</file>

<file path=xl/worksheets/sheet3.xml><?xml version="1.0" encoding="utf-8"?>
<worksheet xmlns="http://schemas.openxmlformats.org/spreadsheetml/2006/main">
  <sheetPr>
    <tabColor rgb="001B365D"/>
    <outlinePr summaryBelow="1" summaryRight="1"/>
    <pageSetUpPr fitToPage="1"/>
  </sheetPr>
  <dimension ref="A1:D43"/>
  <sheetViews>
    <sheetView showGridLines="0" zoomScale="100" workbookViewId="0">
      <selection activeCell="A1" sqref="A1"/>
    </sheetView>
  </sheetViews>
  <sheetFormatPr baseColWidth="8" defaultRowHeight="15"/>
  <cols>
    <col width="8" customWidth="1" min="1" max="1"/>
    <col width="70" customWidth="1" min="2" max="2"/>
    <col width="18" customWidth="1" min="3" max="3"/>
    <col width="22" customWidth="1" min="4" max="4"/>
  </cols>
  <sheetData>
    <row r="1" ht="22" customHeight="1">
      <c r="A1" s="1" t="inlineStr">
        <is>
          <t>RAHMAN ANIS &amp; CO.</t>
        </is>
      </c>
    </row>
    <row r="2" ht="16" customHeight="1">
      <c r="A2" s="3" t="inlineStr">
        <is>
          <t>Chartered Accountants</t>
        </is>
      </c>
    </row>
    <row r="3" ht="8" customHeight="1"/>
    <row r="4" ht="20" customHeight="1">
      <c r="A4" s="30" t="inlineStr">
        <is>
          <t>Modern Pharmaceuticals Limited</t>
        </is>
      </c>
    </row>
    <row r="5" ht="18" customHeight="1">
      <c r="A5" s="2" t="inlineStr">
        <is>
          <t>Audited Financial Statements</t>
        </is>
      </c>
    </row>
    <row r="6" ht="16" customHeight="1">
      <c r="A6" s="31" t="inlineStr">
        <is>
          <t>For the year ended 30 June 2026</t>
        </is>
      </c>
    </row>
    <row r="7" ht="6" customHeight="1">
      <c r="A7" s="32" t="n"/>
      <c r="B7" s="32" t="n"/>
      <c r="C7" s="32" t="n"/>
      <c r="D7" s="32" t="n"/>
    </row>
    <row r="9">
      <c r="B9" s="4" t="inlineStr">
        <is>
          <t>Contents</t>
        </is>
      </c>
    </row>
    <row r="10">
      <c r="B10" s="6" t="inlineStr">
        <is>
          <t>Description</t>
        </is>
      </c>
      <c r="C10" s="6" t="inlineStr">
        <is>
          <t>Sheet</t>
        </is>
      </c>
    </row>
    <row r="11">
      <c r="B11" s="13" t="inlineStr">
        <is>
          <t>Independent Auditor's Report</t>
        </is>
      </c>
      <c r="C11" s="33" t="inlineStr">
        <is>
          <t>03</t>
        </is>
      </c>
    </row>
    <row r="12">
      <c r="B12" s="34" t="inlineStr">
        <is>
          <t>Statement of Financial Position</t>
        </is>
      </c>
      <c r="C12" s="9" t="inlineStr">
        <is>
          <t>04</t>
        </is>
      </c>
    </row>
    <row r="13">
      <c r="B13" s="13" t="inlineStr">
        <is>
          <t>Statement of Profit or Loss and Other Comprehensive Income</t>
        </is>
      </c>
      <c r="C13" s="33" t="inlineStr">
        <is>
          <t>05</t>
        </is>
      </c>
    </row>
    <row r="14">
      <c r="B14" s="34" t="inlineStr">
        <is>
          <t>Statement of Changes in Equity</t>
        </is>
      </c>
      <c r="C14" s="9" t="inlineStr">
        <is>
          <t>06</t>
        </is>
      </c>
    </row>
    <row r="15">
      <c r="B15" s="13" t="inlineStr">
        <is>
          <t>Statement of Cash Flows</t>
        </is>
      </c>
      <c r="C15" s="33" t="inlineStr">
        <is>
          <t>07</t>
        </is>
      </c>
    </row>
    <row r="16">
      <c r="B16" s="34" t="inlineStr">
        <is>
          <t>Notes to the Financial Statements</t>
        </is>
      </c>
      <c r="C16" s="9" t="inlineStr">
        <is>
          <t>08–11</t>
        </is>
      </c>
    </row>
    <row r="17">
      <c r="B17" s="13" t="inlineStr">
        <is>
          <t>Annexure A — Schedule of Property, Plant and Equipment</t>
        </is>
      </c>
      <c r="C17" s="33" t="inlineStr">
        <is>
          <t>12</t>
        </is>
      </c>
    </row>
    <row r="18">
      <c r="B18" s="34" t="inlineStr">
        <is>
          <t>Annexure B — Cost of Sales and Factory Overhead</t>
        </is>
      </c>
      <c r="C18" s="9" t="inlineStr">
        <is>
          <t>13</t>
        </is>
      </c>
    </row>
    <row r="19">
      <c r="B19" s="13" t="inlineStr">
        <is>
          <t>Annexure C — Administrative and Selling Expenses</t>
        </is>
      </c>
      <c r="C19" s="33" t="inlineStr">
        <is>
          <t>14</t>
        </is>
      </c>
    </row>
    <row r="20">
      <c r="B20" s="34" t="inlineStr">
        <is>
          <t>Annexure D — Tax and WPPF workings</t>
        </is>
      </c>
      <c r="C20" s="9" t="inlineStr">
        <is>
          <t>15</t>
        </is>
      </c>
    </row>
    <row r="23">
      <c r="B23" s="35" t="inlineStr">
        <is>
          <t>Notes index</t>
        </is>
      </c>
    </row>
    <row r="24">
      <c r="B24" s="36" t="inlineStr">
        <is>
          <t>1.00  Reporting entity</t>
        </is>
      </c>
      <c r="C24" s="36" t="inlineStr">
        <is>
          <t>21.00 Liabilities for expenses</t>
        </is>
      </c>
    </row>
    <row r="25">
      <c r="B25" s="36" t="inlineStr">
        <is>
          <t>2.00  Basis of preparation</t>
        </is>
      </c>
      <c r="C25" s="36" t="inlineStr">
        <is>
          <t>22.00 Provision for income tax</t>
        </is>
      </c>
    </row>
    <row r="26">
      <c r="B26" s="36" t="inlineStr">
        <is>
          <t>3.00  Significant accounting policies</t>
        </is>
      </c>
      <c r="C26" s="36" t="inlineStr">
        <is>
          <t>23.00 Workers' Profit Participation Fund</t>
        </is>
      </c>
    </row>
    <row r="27">
      <c r="B27" s="36" t="inlineStr">
        <is>
          <t>4.00  Property, plant and equipment</t>
        </is>
      </c>
      <c r="C27" s="36" t="inlineStr">
        <is>
          <t>24.00 Revenue</t>
        </is>
      </c>
    </row>
    <row r="28">
      <c r="B28" s="36" t="inlineStr">
        <is>
          <t>5.00  Capital work-in-progress</t>
        </is>
      </c>
      <c r="C28" s="36" t="inlineStr">
        <is>
          <t>25.00 Cost of sales</t>
        </is>
      </c>
    </row>
    <row r="29">
      <c r="B29" s="36" t="inlineStr">
        <is>
          <t>6.00  Intangible assets</t>
        </is>
      </c>
      <c r="C29" s="36" t="inlineStr">
        <is>
          <t>26.00 Other income</t>
        </is>
      </c>
    </row>
    <row r="30">
      <c r="B30" s="36" t="inlineStr">
        <is>
          <t>7.00  Right-of-use assets</t>
        </is>
      </c>
      <c r="C30" s="36" t="inlineStr">
        <is>
          <t>27.00 Administrative expenses</t>
        </is>
      </c>
    </row>
    <row r="31">
      <c r="B31" s="36" t="inlineStr">
        <is>
          <t>8.00  Deferred tax (asset) / liability</t>
        </is>
      </c>
      <c r="C31" s="36" t="inlineStr">
        <is>
          <t>28.00 Selling and distribution expenses</t>
        </is>
      </c>
    </row>
    <row r="32">
      <c r="B32" s="36" t="inlineStr">
        <is>
          <t>9.00  Inventories</t>
        </is>
      </c>
      <c r="C32" s="36" t="inlineStr">
        <is>
          <t>29.00 Finance costs</t>
        </is>
      </c>
    </row>
    <row r="33">
      <c r="B33" s="36" t="inlineStr">
        <is>
          <t>10.00 Trade and other receivables</t>
        </is>
      </c>
      <c r="C33" s="36" t="inlineStr">
        <is>
          <t>30.00 Finance income</t>
        </is>
      </c>
    </row>
    <row r="34">
      <c r="B34" s="36" t="inlineStr">
        <is>
          <t>11.00 Advances, deposits and prepayments</t>
        </is>
      </c>
      <c r="C34" s="36" t="inlineStr">
        <is>
          <t>31.00 Contribution to WPPF</t>
        </is>
      </c>
    </row>
    <row r="35">
      <c r="B35" s="36" t="inlineStr">
        <is>
          <t>12.00 Advance income tax</t>
        </is>
      </c>
      <c r="C35" s="36" t="inlineStr">
        <is>
          <t>32.00 Income tax expense</t>
        </is>
      </c>
    </row>
    <row r="36">
      <c r="B36" s="36" t="inlineStr">
        <is>
          <t>13.00 Cash and cash equivalents</t>
        </is>
      </c>
      <c r="C36" s="36" t="inlineStr">
        <is>
          <t>33.00 Basic earnings per share</t>
        </is>
      </c>
    </row>
    <row r="37">
      <c r="B37" s="36" t="inlineStr">
        <is>
          <t>14.00 Share capital</t>
        </is>
      </c>
      <c r="C37" s="36" t="inlineStr">
        <is>
          <t>34.00 Related party disclosures</t>
        </is>
      </c>
    </row>
    <row r="38">
      <c r="B38" s="36" t="inlineStr">
        <is>
          <t>15.00 Retained earnings</t>
        </is>
      </c>
      <c r="C38" s="36" t="inlineStr">
        <is>
          <t>35.00 Contingent liabilities and commitments</t>
        </is>
      </c>
    </row>
    <row r="39">
      <c r="B39" s="36" t="inlineStr">
        <is>
          <t>16.00 Long-term borrowings</t>
        </is>
      </c>
      <c r="C39" s="36" t="inlineStr">
        <is>
          <t>36.00 Number of employees</t>
        </is>
      </c>
    </row>
    <row r="40">
      <c r="B40" s="36" t="inlineStr">
        <is>
          <t>17.00 Lease liabilities</t>
        </is>
      </c>
      <c r="C40" s="36" t="inlineStr">
        <is>
          <t>37.00 Financial risk management</t>
        </is>
      </c>
    </row>
    <row r="41">
      <c r="B41" s="36" t="inlineStr">
        <is>
          <t>18.00 Trade and other payables</t>
        </is>
      </c>
      <c r="C41" s="36" t="inlineStr">
        <is>
          <t>38.00 Events after the reporting period</t>
        </is>
      </c>
    </row>
    <row r="42">
      <c r="B42" s="36" t="inlineStr">
        <is>
          <t>19.00 Short-term borrowings</t>
        </is>
      </c>
      <c r="C42" s="36" t="inlineStr">
        <is>
          <t>39.00 Authorisation of the financial statements</t>
        </is>
      </c>
    </row>
    <row r="43">
      <c r="B43" s="36" t="inlineStr">
        <is>
          <t>20.00 Current portion of long-term borrowings</t>
        </is>
      </c>
    </row>
  </sheetData>
  <mergeCells count="5">
    <mergeCell ref="A1:D1"/>
    <mergeCell ref="A5:D5"/>
    <mergeCell ref="A6:D6"/>
    <mergeCell ref="A4:D4"/>
    <mergeCell ref="A2:D2"/>
  </mergeCells>
  <pageMargins left="0.5" right="0.5" top="0.7" bottom="0.7" header="0.3" footer="0.3"/>
  <pageSetup orientation="portrait" paperSize="9" fitToHeight="0" fitToWidth="1"/>
  <headerFooter>
    <oddHeader>&amp;LRahman Anis &amp; Co._x000a_Chartered Accountants&amp;RModern Pharmaceuticals Limited_x000a_Year ended 30 June 2026</oddHeader>
    <oddFooter>&amp;LConfidential — Statutory audit working / FS pack&amp;CPage &amp;P of &amp;N&amp;RContents</oddFooter>
    <evenHeader/>
    <evenFooter/>
    <firstHeader/>
    <firstFooter/>
  </headerFooter>
</worksheet>
</file>

<file path=xl/worksheets/sheet4.xml><?xml version="1.0" encoding="utf-8"?>
<worksheet xmlns="http://schemas.openxmlformats.org/spreadsheetml/2006/main">
  <sheetPr>
    <tabColor rgb="001B365D"/>
    <outlinePr summaryBelow="1" summaryRight="1"/>
    <pageSetUpPr fitToPage="1"/>
  </sheetPr>
  <dimension ref="A1:B35"/>
  <sheetViews>
    <sheetView showGridLines="0" zoomScale="100" workbookViewId="0">
      <selection activeCell="A1" sqref="A1"/>
    </sheetView>
  </sheetViews>
  <sheetFormatPr baseColWidth="8" defaultRowHeight="15"/>
  <cols>
    <col width="3" customWidth="1" min="1" max="1"/>
    <col width="96" customWidth="1" min="2" max="2"/>
    <col width="3" customWidth="1" min="3" max="3"/>
  </cols>
  <sheetData>
    <row r="1" ht="22" customHeight="1">
      <c r="A1" s="1" t="inlineStr">
        <is>
          <t>RAHMAN ANIS &amp; CO.</t>
        </is>
      </c>
    </row>
    <row r="2" ht="16" customHeight="1">
      <c r="A2" s="3" t="inlineStr">
        <is>
          <t>Chartered Accountants</t>
        </is>
      </c>
    </row>
    <row r="3" ht="8" customHeight="1"/>
    <row r="4" ht="20" customHeight="1">
      <c r="A4" s="30" t="inlineStr">
        <is>
          <t>Independent Auditor's Report</t>
        </is>
      </c>
    </row>
    <row r="5" ht="18" customHeight="1">
      <c r="A5" s="2" t="inlineStr">
        <is>
          <t>To the Shareholders of Modern Pharmaceuticals Limited</t>
        </is>
      </c>
    </row>
    <row r="6" ht="16" customHeight="1">
      <c r="A6" s="31" t="inlineStr">
        <is>
          <t>Report on the Audit of the Financial Statements</t>
        </is>
      </c>
    </row>
    <row r="7" ht="6" customHeight="1">
      <c r="A7" s="32" t="n"/>
      <c r="B7" s="32" t="n"/>
    </row>
    <row r="9" ht="22" customHeight="1">
      <c r="B9" s="37" t="inlineStr">
        <is>
          <t>Opinion</t>
        </is>
      </c>
    </row>
    <row r="10" ht="72" customHeight="1">
      <c r="B10" s="38" t="inlineStr">
        <is>
          <t>We have audited the financial statements of Modern Pharmaceuticals Limited (the "Company"), which comprise the statement of financial position as at 30 June 2026, and the statement of profit or loss and other comprehensive income, statement of changes in equity and statement of cash flows for the year then ended, and notes to the financial statements, including a summary of significant accounting policies.</t>
        </is>
      </c>
    </row>
    <row r="11" ht="72" customHeight="1">
      <c r="B11" s="38" t="inlineStr">
        <is>
          <t>In our opinion, the accompanying financial statements give a true and fair view of the financial position of the Company as at 30 June 2026, and of its financial performance and its cash flows for the year then ended in accordance with International Financial Reporting Standards (IFRSs) as adopted in Bangladesh and comply with the Companies Act 1994 (as amended to date) and other applicable laws and regulations.</t>
        </is>
      </c>
    </row>
    <row r="12" ht="52" customHeight="1">
      <c r="B12" s="38" t="inlineStr">
        <is>
          <t>[DRAFT — Engagement partner: confirm unmodified / qualified / adverse / disclaimer. If modified, replace this paragraph and insert Basis for Qualified/Adverse Opinion. Yellow cells in the FS are incomplete until 2026 amounts are posted.]</t>
        </is>
      </c>
    </row>
    <row r="13" ht="22" customHeight="1">
      <c r="B13" s="37" t="inlineStr">
        <is>
          <t>Basis for Opinion</t>
        </is>
      </c>
    </row>
    <row r="14" ht="72" customHeight="1">
      <c r="B14" s="38" t="inlineStr">
        <is>
          <t>We conducted our audit in accordance with International Standards on Auditing (ISAs). Our responsibilities under those standards are further described in the Auditor's Responsibilities for the Audit of the Financial Statements section of our report. We are independent of the Company in accordance with the International Ethics Standards Board for Accountants' Code of Ethics for Professional Accountants (IESBA Code) together with the ethical requirements that are relevant to our audit of the financial statements in Bangladesh, and we have fulfilled our other ethical responsibilities in accordance with these requirements. We believe that the audit evidence we have obtained is sufficient and appropriate to provide a basis for our opinion.</t>
        </is>
      </c>
    </row>
    <row r="15" ht="22" customHeight="1">
      <c r="B15" s="37" t="inlineStr">
        <is>
          <t>Other Information [if applicable]</t>
        </is>
      </c>
    </row>
    <row r="16" ht="72" customHeight="1">
      <c r="B16" s="38" t="inlineStr">
        <is>
          <t>Management is responsible for the other information. The other information comprises the information included in the Annual Report / Directors' Report but does not include the financial statements and our auditor's report thereon. Our opinion on the financial statements does not cover the other information and we do not express any form of assurance conclusion thereon. [Complete or delete if no other information is obtained at the date of this report.]</t>
        </is>
      </c>
    </row>
    <row r="17" ht="22" customHeight="1">
      <c r="B17" s="37" t="inlineStr">
        <is>
          <t>Responsibilities of Management and Those Charged with Governance for the Financial Statements</t>
        </is>
      </c>
    </row>
    <row r="18" ht="72" customHeight="1">
      <c r="B18" s="38" t="inlineStr">
        <is>
          <t>Management is responsible for the preparation and fair presentation of the financial statements in accordance with IFRSs as adopted in Bangladesh and the Companies Act 1994 (as amended), and for such internal control as management determines is necessary to enable the preparation of financial statements that are free from material misstatement, whether due to fraud or error. In preparing the financial statements, management is responsible for assessing the Company's ability to continue as a going concern, disclosing, as applicable, matters related to going concern and using the going concern basis of accounting unless management either intends to liquidate the Company or to cease operations, or has no realistic alternative but to do so. Those charged with governance are responsible for overseeing the Company's financial reporting process.</t>
        </is>
      </c>
    </row>
    <row r="19" ht="22" customHeight="1">
      <c r="B19" s="37" t="inlineStr">
        <is>
          <t>Auditor's Responsibilities for the Audit of the Financial Statements</t>
        </is>
      </c>
    </row>
    <row r="20" ht="72" customHeight="1">
      <c r="B20" s="38" t="inlineStr">
        <is>
          <t>Our objectives are to obtain reasonable assurance about whether the financial statements as a whole are free from material misstatement, whether due to fraud or error, and to issue an auditor's report that includes our opinion. Reasonable assurance is a high level of assurance, but is not a guarantee that an audit conducted in accordance with ISAs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t>
        </is>
      </c>
    </row>
    <row r="21" ht="72" customHeight="1">
      <c r="B21" s="38" t="inlineStr">
        <is>
          <t>As part of an audit in accordance with ISAs, we exercise professional judgment and maintain professional skepticism throughout the audit. We also: identify and assess the risks of material misstatement of the financial statements, whether due to fraud or error, design and perform audit procedures responsive to those risks, and obtain audit evidence that is sufficient and appropriate to provide a basis for our opinion; obtain an understanding of internal control relevant to the audit; evaluate the appropriateness of accounting policies used and the reasonableness of accounting estimates and related disclosures; conclude on the appropriateness of management's use of the going concern basis of accounting; evaluate the overall presentation, structure and content of the financial statements. We communicate with those charged with governance regarding, among other matters, the planned scope and timing of the audit and significant audit findings, including any significant deficiencies in internal control that we identify during our audit.</t>
        </is>
      </c>
    </row>
    <row r="22" ht="22" customHeight="1">
      <c r="B22" s="37" t="inlineStr">
        <is>
          <t>Report on Other Legal and Regulatory Requirements</t>
        </is>
      </c>
    </row>
    <row r="23" ht="36" customHeight="1">
      <c r="B23" s="38" t="inlineStr">
        <is>
          <t>In accordance with the Companies Act 1994 (as amended to date), we also report the following:</t>
        </is>
      </c>
    </row>
    <row r="24" ht="52" customHeight="1">
      <c r="B24" s="38" t="inlineStr">
        <is>
          <t>(a) we have obtained all the information and explanations which to the best of our knowledge and belief were necessary for the purposes of our audit and made due verification thereof;</t>
        </is>
      </c>
    </row>
    <row r="25" ht="52" customHeight="1">
      <c r="B25" s="38" t="inlineStr">
        <is>
          <t>(b) in our opinion, proper books of account as required by law have been kept by the Company so far as it appeared from our examination of those books;</t>
        </is>
      </c>
    </row>
    <row r="26" ht="52" customHeight="1">
      <c r="B26" s="38" t="inlineStr">
        <is>
          <t>(c) the statement of financial position and statement of profit or loss and other comprehensive income dealt with by the report are in agreement with the books of account; and</t>
        </is>
      </c>
    </row>
    <row r="27" ht="36" customHeight="1">
      <c r="B27" s="38" t="inlineStr">
        <is>
          <t>(d) the expenditure incurred was for the purposes of the Company's business.</t>
        </is>
      </c>
    </row>
    <row r="29">
      <c r="B29" s="39" t="inlineStr">
        <is>
          <t>Dhaka</t>
        </is>
      </c>
    </row>
    <row r="30">
      <c r="B30" s="39" t="inlineStr">
        <is>
          <t>Dated: ________________________</t>
        </is>
      </c>
    </row>
    <row r="32">
      <c r="B32" s="4" t="inlineStr">
        <is>
          <t>Rahman Anis &amp; Co.</t>
        </is>
      </c>
    </row>
    <row r="33">
      <c r="B33" s="39" t="inlineStr">
        <is>
          <t>Chartered Accountants</t>
        </is>
      </c>
    </row>
    <row r="34">
      <c r="B34" s="39" t="inlineStr">
        <is>
          <t>Enrolment / Partner: ________________________  FCA</t>
        </is>
      </c>
    </row>
    <row r="35">
      <c r="B35" s="40" t="inlineStr">
        <is>
          <t>DVC: ________________________</t>
        </is>
      </c>
    </row>
  </sheetData>
  <mergeCells count="24">
    <mergeCell ref="B9"/>
    <mergeCell ref="B15"/>
    <mergeCell ref="B24"/>
    <mergeCell ref="B20"/>
    <mergeCell ref="A1:B1"/>
    <mergeCell ref="A6:B6"/>
    <mergeCell ref="B26"/>
    <mergeCell ref="B25"/>
    <mergeCell ref="B16"/>
    <mergeCell ref="B22"/>
    <mergeCell ref="B27"/>
    <mergeCell ref="A2:B2"/>
    <mergeCell ref="B12"/>
    <mergeCell ref="B18"/>
    <mergeCell ref="B21"/>
    <mergeCell ref="A5:B5"/>
    <mergeCell ref="B11"/>
    <mergeCell ref="B14"/>
    <mergeCell ref="B23"/>
    <mergeCell ref="A4:B4"/>
    <mergeCell ref="B17"/>
    <mergeCell ref="B13"/>
    <mergeCell ref="B10"/>
    <mergeCell ref="B19"/>
  </mergeCells>
  <pageMargins left="0.5" right="0.5" top="0.7" bottom="0.7" header="0.3" footer="0.3"/>
  <pageSetup orientation="portrait" paperSize="9" fitToHeight="0" fitToWidth="1"/>
  <headerFooter>
    <oddHeader>&amp;LRahman Anis &amp; Co._x000a_Chartered Accountants&amp;RModern Pharmaceuticals Limited_x000a_Year ended 30 June 2026</oddHeader>
    <oddFooter>&amp;LConfidential — Statutory audit working / FS pack&amp;CPage &amp;P of &amp;N&amp;RAuditor's report</oddFooter>
    <evenHeader/>
    <evenFooter/>
    <firstHeader/>
    <firstFooter/>
  </headerFooter>
</worksheet>
</file>

<file path=xl/worksheets/sheet5.xml><?xml version="1.0" encoding="utf-8"?>
<worksheet xmlns="http://schemas.openxmlformats.org/spreadsheetml/2006/main">
  <sheetPr>
    <tabColor rgb="001B365D"/>
    <outlinePr summaryBelow="1" summaryRight="1"/>
    <pageSetUpPr fitToPage="1"/>
  </sheetPr>
  <dimension ref="A1:D70"/>
  <sheetViews>
    <sheetView showGridLines="0" zoomScale="100" workbookViewId="0">
      <selection activeCell="A1" sqref="A1"/>
    </sheetView>
  </sheetViews>
  <sheetFormatPr baseColWidth="8" defaultRowHeight="15"/>
  <cols>
    <col width="56" customWidth="1" min="1" max="1"/>
    <col width="12" customWidth="1" min="2" max="2"/>
    <col width="22" customWidth="1" min="3" max="3"/>
    <col width="24" customWidth="1" min="4" max="4"/>
  </cols>
  <sheetData>
    <row r="1" ht="22" customHeight="1">
      <c r="A1" s="1" t="inlineStr">
        <is>
          <t>RAHMAN ANIS &amp; CO.</t>
        </is>
      </c>
    </row>
    <row r="2" ht="16" customHeight="1">
      <c r="A2" s="3" t="inlineStr">
        <is>
          <t>Chartered Accountants</t>
        </is>
      </c>
    </row>
    <row r="3" ht="8" customHeight="1"/>
    <row r="4" ht="20" customHeight="1">
      <c r="A4" s="30" t="inlineStr">
        <is>
          <t>Modern Pharmaceuticals Limited</t>
        </is>
      </c>
    </row>
    <row r="5" ht="18" customHeight="1">
      <c r="A5" s="2" t="inlineStr">
        <is>
          <t>Statement of Financial Position</t>
        </is>
      </c>
    </row>
    <row r="6" ht="16" customHeight="1">
      <c r="A6" s="31" t="inlineStr">
        <is>
          <t>As at 30 June 2026</t>
        </is>
      </c>
    </row>
    <row r="7" ht="6" customHeight="1">
      <c r="A7" s="32" t="n"/>
      <c r="B7" s="32" t="n"/>
      <c r="C7" s="32" t="n"/>
      <c r="D7" s="32" t="n"/>
    </row>
    <row r="8">
      <c r="A8" s="41" t="inlineStr">
        <is>
          <t>Colour key:  YELLOW = 30 June 2026 INK (type amount)    BLUE = 30 June 2025 last year audited comparative    GREEN = auto formula (do not type)</t>
        </is>
      </c>
    </row>
    <row r="9" ht="42" customHeight="1">
      <c r="A9" s="6" t="inlineStr">
        <is>
          <t>Particulars</t>
        </is>
      </c>
      <c r="B9" s="6" t="inlineStr">
        <is>
          <t>Notes</t>
        </is>
      </c>
      <c r="C9" s="42" t="inlineStr">
        <is>
          <t>30 June 2026
Taka
(INK — fill)</t>
        </is>
      </c>
      <c r="D9" s="43" t="inlineStr">
        <is>
          <t>30 June 2025
Taka
(Last year audited)</t>
        </is>
      </c>
    </row>
    <row r="10" ht="22" customHeight="1">
      <c r="A10" s="44" t="inlineStr">
        <is>
          <t>ASSETS</t>
        </is>
      </c>
      <c r="B10" s="45" t="n"/>
      <c r="C10" s="46" t="n"/>
      <c r="D10" s="46" t="n"/>
    </row>
    <row r="11" ht="18" customHeight="1">
      <c r="A11" s="47" t="inlineStr">
        <is>
          <t>Non-current assets</t>
        </is>
      </c>
      <c r="B11" s="9" t="n"/>
      <c r="C11" s="48" t="n"/>
      <c r="D11" s="48" t="n"/>
    </row>
    <row r="12" ht="18" customHeight="1">
      <c r="A12" s="49" t="inlineStr">
        <is>
          <t>Property, plant and equipment</t>
        </is>
      </c>
      <c r="B12" s="33" t="inlineStr">
        <is>
          <t>4.00</t>
        </is>
      </c>
      <c r="C12" s="50">
        <f>'09_Notes_SOFP'!C11</f>
        <v/>
      </c>
      <c r="D12" s="50">
        <f>'09_Notes_SOFP'!D11</f>
        <v/>
      </c>
    </row>
    <row r="13" ht="18" customHeight="1">
      <c r="A13" s="49" t="inlineStr">
        <is>
          <t>Capital work-in-progress</t>
        </is>
      </c>
      <c r="B13" s="33" t="inlineStr">
        <is>
          <t>5.00</t>
        </is>
      </c>
      <c r="C13" s="50">
        <f>'09_Notes_SOFP'!C16</f>
        <v/>
      </c>
      <c r="D13" s="50">
        <f>'09_Notes_SOFP'!D16</f>
        <v/>
      </c>
    </row>
    <row r="14" ht="18" customHeight="1">
      <c r="A14" s="49" t="inlineStr">
        <is>
          <t>Intangible assets</t>
        </is>
      </c>
      <c r="B14" s="33" t="inlineStr">
        <is>
          <t>6.00</t>
        </is>
      </c>
      <c r="C14" s="50">
        <f>'09_Notes_SOFP'!C21</f>
        <v/>
      </c>
      <c r="D14" s="50">
        <f>'09_Notes_SOFP'!D21</f>
        <v/>
      </c>
    </row>
    <row r="15" ht="18" customHeight="1">
      <c r="A15" s="49" t="inlineStr">
        <is>
          <t>Right-of-use assets</t>
        </is>
      </c>
      <c r="B15" s="33" t="inlineStr">
        <is>
          <t>7.00</t>
        </is>
      </c>
      <c r="C15" s="50">
        <f>'09_Notes_SOFP'!C26</f>
        <v/>
      </c>
      <c r="D15" s="50">
        <f>'09_Notes_SOFP'!D26</f>
        <v/>
      </c>
    </row>
    <row r="16" ht="18" customHeight="1">
      <c r="A16" s="49" t="inlineStr">
        <is>
          <t>Investment in shares / others</t>
        </is>
      </c>
      <c r="B16" s="33" t="inlineStr">
        <is>
          <t>13A</t>
        </is>
      </c>
      <c r="C16" s="50">
        <f>'09_Notes_SOFP'!C68</f>
        <v/>
      </c>
      <c r="D16" s="50">
        <f>'09_Notes_SOFP'!D68</f>
        <v/>
      </c>
    </row>
    <row r="17" ht="18" customHeight="1">
      <c r="A17" s="49" t="inlineStr">
        <is>
          <t>Other non-current assets</t>
        </is>
      </c>
      <c r="B17" s="33" t="inlineStr">
        <is>
          <t>13A</t>
        </is>
      </c>
      <c r="C17" s="50">
        <f>'09_Notes_SOFP'!C69</f>
        <v/>
      </c>
      <c r="D17" s="50">
        <f>'09_Notes_SOFP'!D69</f>
        <v/>
      </c>
    </row>
    <row r="18" ht="18" customHeight="1">
      <c r="A18" s="49" t="inlineStr">
        <is>
          <t>Deferred tax asset (if DTL note is negative, present here — INK optional override)</t>
        </is>
      </c>
      <c r="B18" s="33" t="n"/>
      <c r="C18" s="51">
        <f>IF('09_Notes_SOFP'!C28&lt;0,-'09_Notes_SOFP'!C28,0)</f>
        <v/>
      </c>
      <c r="D18" s="51">
        <f>IF('09_Notes_SOFP'!D28&lt;0,-'09_Notes_SOFP'!D28,0)</f>
        <v/>
      </c>
    </row>
    <row r="19" ht="18" customHeight="1">
      <c r="A19" s="52" t="inlineStr">
        <is>
          <t>Total non-current assets</t>
        </is>
      </c>
      <c r="B19" s="53" t="n"/>
      <c r="C19" s="54">
        <f>C12+C13+C14+C15+C16+C17+C18</f>
        <v/>
      </c>
      <c r="D19" s="54">
        <f>D12+D13+D14+D15+D16+D17+D18</f>
        <v/>
      </c>
    </row>
    <row r="20" ht="18" customHeight="1">
      <c r="A20" s="47" t="inlineStr">
        <is>
          <t>Current assets</t>
        </is>
      </c>
      <c r="B20" s="9" t="n"/>
      <c r="C20" s="48" t="n"/>
      <c r="D20" s="48" t="n"/>
    </row>
    <row r="21" ht="18" customHeight="1">
      <c r="A21" s="49" t="inlineStr">
        <is>
          <t>Inventories</t>
        </is>
      </c>
      <c r="B21" s="33" t="inlineStr">
        <is>
          <t>9.00</t>
        </is>
      </c>
      <c r="C21" s="50">
        <f>'09_Notes_SOFP'!C36</f>
        <v/>
      </c>
      <c r="D21" s="50">
        <f>'09_Notes_SOFP'!D36</f>
        <v/>
      </c>
    </row>
    <row r="22" ht="18" customHeight="1">
      <c r="A22" s="49" t="inlineStr">
        <is>
          <t>Trade and other receivables</t>
        </is>
      </c>
      <c r="B22" s="33" t="inlineStr">
        <is>
          <t>10.00</t>
        </is>
      </c>
      <c r="C22" s="50">
        <f>'09_Notes_SOFP'!C44</f>
        <v/>
      </c>
      <c r="D22" s="50">
        <f>'09_Notes_SOFP'!D44</f>
        <v/>
      </c>
    </row>
    <row r="23" ht="18" customHeight="1">
      <c r="A23" s="49" t="inlineStr">
        <is>
          <t>Advances, deposits and prepayments</t>
        </is>
      </c>
      <c r="B23" s="33" t="inlineStr">
        <is>
          <t>11.00</t>
        </is>
      </c>
      <c r="C23" s="50">
        <f>'09_Notes_SOFP'!C53</f>
        <v/>
      </c>
      <c r="D23" s="50">
        <f>'09_Notes_SOFP'!D53</f>
        <v/>
      </c>
    </row>
    <row r="24" ht="18" customHeight="1">
      <c r="A24" s="49" t="inlineStr">
        <is>
          <t>Advance income tax</t>
        </is>
      </c>
      <c r="B24" s="33" t="inlineStr">
        <is>
          <t>12.00</t>
        </is>
      </c>
      <c r="C24" s="50">
        <f>'09_Notes_SOFP'!C58</f>
        <v/>
      </c>
      <c r="D24" s="50">
        <f>'09_Notes_SOFP'!D58</f>
        <v/>
      </c>
    </row>
    <row r="25" ht="18" customHeight="1">
      <c r="A25" s="49" t="inlineStr">
        <is>
          <t>Short-term FDR / investments</t>
        </is>
      </c>
      <c r="B25" s="33" t="inlineStr">
        <is>
          <t>13A</t>
        </is>
      </c>
      <c r="C25" s="50">
        <f>'09_Notes_SOFP'!C67</f>
        <v/>
      </c>
      <c r="D25" s="50">
        <f>'09_Notes_SOFP'!D67</f>
        <v/>
      </c>
    </row>
    <row r="26" ht="18" customHeight="1">
      <c r="A26" s="49" t="inlineStr">
        <is>
          <t>Cash and cash equivalents</t>
        </is>
      </c>
      <c r="B26" s="33" t="inlineStr">
        <is>
          <t>13.00</t>
        </is>
      </c>
      <c r="C26" s="50">
        <f>'09_Notes_SOFP'!C65</f>
        <v/>
      </c>
      <c r="D26" s="50">
        <f>'09_Notes_SOFP'!D65</f>
        <v/>
      </c>
    </row>
    <row r="27" ht="18" customHeight="1">
      <c r="A27" s="52" t="inlineStr">
        <is>
          <t>Total current assets</t>
        </is>
      </c>
      <c r="B27" s="53" t="n"/>
      <c r="C27" s="54">
        <f>C21+C22+C23+C24+C25+C26</f>
        <v/>
      </c>
      <c r="D27" s="54">
        <f>D21+D22+D23+D24+D25+D26</f>
        <v/>
      </c>
    </row>
    <row r="28" ht="18" customHeight="1">
      <c r="A28" s="44" t="inlineStr">
        <is>
          <t>TOTAL ASSETS</t>
        </is>
      </c>
      <c r="B28" s="6" t="n"/>
      <c r="C28" s="55">
        <f>C19+C27</f>
        <v/>
      </c>
      <c r="D28" s="55">
        <f>D19+D27</f>
        <v/>
      </c>
    </row>
    <row r="29" ht="8" customHeight="1">
      <c r="A29" s="56" t="n"/>
      <c r="B29" s="57" t="n"/>
    </row>
    <row r="30" ht="22" customHeight="1">
      <c r="A30" s="44" t="inlineStr">
        <is>
          <t>EQUITY AND LIABILITIES</t>
        </is>
      </c>
      <c r="B30" s="45" t="n"/>
      <c r="C30" s="46" t="n"/>
      <c r="D30" s="46" t="n"/>
    </row>
    <row r="31" ht="18" customHeight="1">
      <c r="A31" s="47" t="inlineStr">
        <is>
          <t>Shareholders' equity</t>
        </is>
      </c>
      <c r="B31" s="9" t="n"/>
      <c r="C31" s="48" t="n"/>
      <c r="D31" s="48" t="n"/>
    </row>
    <row r="32" ht="18" customHeight="1">
      <c r="A32" s="49" t="inlineStr">
        <is>
          <t>Share capital</t>
        </is>
      </c>
      <c r="B32" s="33" t="inlineStr">
        <is>
          <t>14.00</t>
        </is>
      </c>
      <c r="C32" s="50">
        <f>'09_Notes_SOFP'!C72</f>
        <v/>
      </c>
      <c r="D32" s="50">
        <f>'09_Notes_SOFP'!D72</f>
        <v/>
      </c>
    </row>
    <row r="33" ht="18" customHeight="1">
      <c r="A33" s="49" t="inlineStr">
        <is>
          <t>Share premium</t>
        </is>
      </c>
      <c r="B33" s="33" t="inlineStr">
        <is>
          <t>14.00</t>
        </is>
      </c>
      <c r="C33" s="50">
        <f>'09_Notes_SOFP'!C73</f>
        <v/>
      </c>
      <c r="D33" s="50">
        <f>'09_Notes_SOFP'!D73</f>
        <v/>
      </c>
    </row>
    <row r="34" ht="18" customHeight="1">
      <c r="A34" s="49" t="inlineStr">
        <is>
          <t>Revaluation surplus</t>
        </is>
      </c>
      <c r="B34" s="33" t="inlineStr">
        <is>
          <t>14.00</t>
        </is>
      </c>
      <c r="C34" s="50">
        <f>'09_Notes_SOFP'!C74</f>
        <v/>
      </c>
      <c r="D34" s="50">
        <f>'09_Notes_SOFP'!D74</f>
        <v/>
      </c>
    </row>
    <row r="35" ht="18" customHeight="1">
      <c r="A35" s="49" t="inlineStr">
        <is>
          <t>Other reserve</t>
        </is>
      </c>
      <c r="B35" s="33" t="inlineStr">
        <is>
          <t>14.00</t>
        </is>
      </c>
      <c r="C35" s="50">
        <f>'09_Notes_SOFP'!C75</f>
        <v/>
      </c>
      <c r="D35" s="50">
        <f>'09_Notes_SOFP'!D75</f>
        <v/>
      </c>
    </row>
    <row r="36" ht="18" customHeight="1">
      <c r="A36" s="49" t="inlineStr">
        <is>
          <t>Retained earnings</t>
        </is>
      </c>
      <c r="B36" s="33" t="inlineStr">
        <is>
          <t>15.00</t>
        </is>
      </c>
      <c r="C36" s="50">
        <f>'09_Notes_SOFP'!C77</f>
        <v/>
      </c>
      <c r="D36" s="50">
        <f>'09_Notes_SOFP'!D77</f>
        <v/>
      </c>
    </row>
    <row r="37" ht="18" customHeight="1">
      <c r="A37" s="52" t="inlineStr">
        <is>
          <t>Total equity</t>
        </is>
      </c>
      <c r="B37" s="53" t="n"/>
      <c r="C37" s="54">
        <f>C32+C33+C34+C35+C36</f>
        <v/>
      </c>
      <c r="D37" s="54">
        <f>D32+D33+D34+D35+D36</f>
        <v/>
      </c>
    </row>
    <row r="38" ht="18" customHeight="1">
      <c r="A38" s="47" t="inlineStr">
        <is>
          <t>Non-current liabilities</t>
        </is>
      </c>
      <c r="B38" s="9" t="n"/>
      <c r="C38" s="48" t="n"/>
      <c r="D38" s="48" t="n"/>
    </row>
    <row r="39" ht="18" customHeight="1">
      <c r="A39" s="49" t="inlineStr">
        <is>
          <t>Long-term borrowings</t>
        </is>
      </c>
      <c r="B39" s="33" t="inlineStr">
        <is>
          <t>16.00</t>
        </is>
      </c>
      <c r="C39" s="50">
        <f>'09_Notes_SOFP'!C81</f>
        <v/>
      </c>
      <c r="D39" s="50">
        <f>'09_Notes_SOFP'!D81</f>
        <v/>
      </c>
    </row>
    <row r="40" ht="18" customHeight="1">
      <c r="A40" s="49" t="inlineStr">
        <is>
          <t>Lease liabilities — non-current</t>
        </is>
      </c>
      <c r="B40" s="33" t="inlineStr">
        <is>
          <t>17.00</t>
        </is>
      </c>
      <c r="C40" s="50">
        <f>'09_Notes_SOFP'!C83</f>
        <v/>
      </c>
      <c r="D40" s="50">
        <f>'09_Notes_SOFP'!D83</f>
        <v/>
      </c>
    </row>
    <row r="41" ht="18" customHeight="1">
      <c r="A41" s="49" t="inlineStr">
        <is>
          <t>Deferred tax liability</t>
        </is>
      </c>
      <c r="B41" s="33" t="inlineStr">
        <is>
          <t>8.00</t>
        </is>
      </c>
      <c r="C41" s="50">
        <f>MAX('09_Notes_SOFP'!C28,0)</f>
        <v/>
      </c>
      <c r="D41" s="50">
        <f>MAX('09_Notes_SOFP'!D28,0)</f>
        <v/>
      </c>
    </row>
    <row r="42" ht="18" customHeight="1">
      <c r="A42" s="49" t="inlineStr">
        <is>
          <t>Provision for gratuity — non-current</t>
        </is>
      </c>
      <c r="B42" s="33" t="n"/>
      <c r="C42" s="50">
        <f>'09_Notes_SOFP'!C115</f>
        <v/>
      </c>
      <c r="D42" s="50">
        <f>'09_Notes_SOFP'!D115</f>
        <v/>
      </c>
    </row>
    <row r="43" ht="18" customHeight="1">
      <c r="A43" s="49" t="inlineStr">
        <is>
          <t>Other non-current liabilities</t>
        </is>
      </c>
      <c r="B43" s="33" t="n"/>
      <c r="C43" s="50">
        <f>'09_Notes_SOFP'!C116</f>
        <v/>
      </c>
      <c r="D43" s="50">
        <f>'09_Notes_SOFP'!D116</f>
        <v/>
      </c>
    </row>
    <row r="44" ht="18" customHeight="1">
      <c r="A44" s="52" t="inlineStr">
        <is>
          <t>Total non-current liabilities</t>
        </is>
      </c>
      <c r="B44" s="53" t="n"/>
      <c r="C44" s="54">
        <f>C39+C40+C41+C42+C43</f>
        <v/>
      </c>
      <c r="D44" s="54">
        <f>D39+D40+D41+D42+D43</f>
        <v/>
      </c>
    </row>
    <row r="45" ht="18" customHeight="1">
      <c r="A45" s="47" t="inlineStr">
        <is>
          <t>Current liabilities</t>
        </is>
      </c>
      <c r="B45" s="9" t="n"/>
      <c r="C45" s="48" t="n"/>
      <c r="D45" s="48" t="n"/>
    </row>
    <row r="46" ht="18" customHeight="1">
      <c r="A46" s="49" t="inlineStr">
        <is>
          <t>Trade and other payables</t>
        </is>
      </c>
      <c r="B46" s="33" t="inlineStr">
        <is>
          <t>18.00</t>
        </is>
      </c>
      <c r="C46" s="50">
        <f>'09_Notes_SOFP'!C91</f>
        <v/>
      </c>
      <c r="D46" s="50">
        <f>'09_Notes_SOFP'!D91</f>
        <v/>
      </c>
    </row>
    <row r="47" ht="18" customHeight="1">
      <c r="A47" s="49" t="inlineStr">
        <is>
          <t>Short-term borrowings</t>
        </is>
      </c>
      <c r="B47" s="33" t="inlineStr">
        <is>
          <t>19.00</t>
        </is>
      </c>
      <c r="C47" s="50">
        <f>'09_Notes_SOFP'!C96</f>
        <v/>
      </c>
      <c r="D47" s="50">
        <f>'09_Notes_SOFP'!D96</f>
        <v/>
      </c>
    </row>
    <row r="48" ht="18" customHeight="1">
      <c r="A48" s="49" t="inlineStr">
        <is>
          <t>Current portion of long-term borrowings</t>
        </is>
      </c>
      <c r="B48" s="33" t="inlineStr">
        <is>
          <t>20.00</t>
        </is>
      </c>
      <c r="C48" s="50">
        <f>'09_Notes_SOFP'!C98</f>
        <v/>
      </c>
      <c r="D48" s="50">
        <f>'09_Notes_SOFP'!D98</f>
        <v/>
      </c>
    </row>
    <row r="49" ht="18" customHeight="1">
      <c r="A49" s="49" t="inlineStr">
        <is>
          <t>Lease liabilities — current</t>
        </is>
      </c>
      <c r="B49" s="33" t="inlineStr">
        <is>
          <t>17.00</t>
        </is>
      </c>
      <c r="C49" s="50">
        <f>'09_Notes_SOFP'!C84</f>
        <v/>
      </c>
      <c r="D49" s="50">
        <f>'09_Notes_SOFP'!D84</f>
        <v/>
      </c>
    </row>
    <row r="50" ht="18" customHeight="1">
      <c r="A50" s="49" t="inlineStr">
        <is>
          <t>Liabilities for expenses and other current liabilities</t>
        </is>
      </c>
      <c r="B50" s="33" t="inlineStr">
        <is>
          <t>21.00</t>
        </is>
      </c>
      <c r="C50" s="50">
        <f>'09_Notes_SOFP'!C109</f>
        <v/>
      </c>
      <c r="D50" s="50">
        <f>'09_Notes_SOFP'!D109</f>
        <v/>
      </c>
    </row>
    <row r="51" ht="18" customHeight="1">
      <c r="A51" s="49" t="inlineStr">
        <is>
          <t>Provision for income tax</t>
        </is>
      </c>
      <c r="B51" s="33" t="inlineStr">
        <is>
          <t>22.00</t>
        </is>
      </c>
      <c r="C51" s="50">
        <f>'09_Notes_SOFP'!C111</f>
        <v/>
      </c>
      <c r="D51" s="50">
        <f>'09_Notes_SOFP'!D111</f>
        <v/>
      </c>
    </row>
    <row r="52" ht="18" customHeight="1">
      <c r="A52" s="49" t="inlineStr">
        <is>
          <t>Workers' Profit Participation Fund</t>
        </is>
      </c>
      <c r="B52" s="33" t="inlineStr">
        <is>
          <t>23.00</t>
        </is>
      </c>
      <c r="C52" s="50">
        <f>'09_Notes_SOFP'!C113</f>
        <v/>
      </c>
      <c r="D52" s="50">
        <f>'09_Notes_SOFP'!D113</f>
        <v/>
      </c>
    </row>
    <row r="53" ht="18" customHeight="1">
      <c r="A53" s="52" t="inlineStr">
        <is>
          <t>Total current liabilities</t>
        </is>
      </c>
      <c r="B53" s="53" t="n"/>
      <c r="C53" s="54">
        <f>C46+C47+C48+C49+C50+C51+C52</f>
        <v/>
      </c>
      <c r="D53" s="54">
        <f>D46+D47+D48+D49+D50+D51+D52</f>
        <v/>
      </c>
    </row>
    <row r="54" ht="18" customHeight="1">
      <c r="A54" s="44" t="inlineStr">
        <is>
          <t>TOTAL EQUITY AND LIABILITIES</t>
        </is>
      </c>
      <c r="B54" s="6" t="n"/>
      <c r="C54" s="55">
        <f>C37+C44+C53</f>
        <v/>
      </c>
      <c r="D54" s="55">
        <f>D37+D44+D53</f>
        <v/>
      </c>
    </row>
    <row r="55" ht="8" customHeight="1">
      <c r="A55" s="56" t="n"/>
      <c r="B55" s="57" t="n"/>
    </row>
    <row r="56" ht="18" customHeight="1">
      <c r="A56" s="47" t="inlineStr">
        <is>
          <t>Balance check: Total assets − Total equity &amp; liabilities (MUST BE NIL)</t>
        </is>
      </c>
      <c r="B56" s="9" t="n"/>
      <c r="C56" s="48" t="n"/>
      <c r="D56" s="48" t="n"/>
    </row>
    <row r="57" ht="18" customHeight="1">
      <c r="A57" s="44" t="inlineStr">
        <is>
          <t>Difference</t>
        </is>
      </c>
      <c r="B57" s="6" t="n"/>
      <c r="C57" s="58">
        <f>C28-C54</f>
        <v/>
      </c>
      <c r="D57" s="58">
        <f>D28-D54</f>
        <v/>
      </c>
    </row>
    <row r="60">
      <c r="A60" s="59" t="inlineStr">
        <is>
          <t>The annexed notes 1 to 39 form an integral part of these financial statements.</t>
        </is>
      </c>
    </row>
    <row r="62">
      <c r="A62" s="31" t="inlineStr">
        <is>
          <t>____________________________</t>
        </is>
      </c>
      <c r="C62" s="31" t="inlineStr">
        <is>
          <t>____________________________</t>
        </is>
      </c>
    </row>
    <row r="63">
      <c r="A63" s="60" t="inlineStr">
        <is>
          <t>Director</t>
        </is>
      </c>
      <c r="C63" s="60" t="inlineStr">
        <is>
          <t>Director</t>
        </is>
      </c>
    </row>
    <row r="64">
      <c r="A64" s="61" t="inlineStr">
        <is>
          <t>Modern Pharmaceuticals Limited</t>
        </is>
      </c>
    </row>
    <row r="66">
      <c r="A66" s="59" t="inlineStr">
        <is>
          <t>Signed in terms of our separate report of even date.</t>
        </is>
      </c>
    </row>
    <row r="68">
      <c r="A68" s="11" t="inlineStr">
        <is>
          <t>Dhaka</t>
        </is>
      </c>
      <c r="C68" s="60" t="inlineStr">
        <is>
          <t>Rahman Anis &amp; Co.</t>
        </is>
      </c>
    </row>
    <row r="69">
      <c r="A69" s="11" t="inlineStr">
        <is>
          <t>Dated: ________________</t>
        </is>
      </c>
      <c r="C69" s="31" t="inlineStr">
        <is>
          <t>Chartered Accountants</t>
        </is>
      </c>
    </row>
    <row r="70">
      <c r="C70" s="61" t="inlineStr">
        <is>
          <t>DVC: ________________________</t>
        </is>
      </c>
    </row>
  </sheetData>
  <mergeCells count="18">
    <mergeCell ref="A1:D1"/>
    <mergeCell ref="A5:D5"/>
    <mergeCell ref="A62:B62"/>
    <mergeCell ref="A8:D8"/>
    <mergeCell ref="C62:D62"/>
    <mergeCell ref="A6:D6"/>
    <mergeCell ref="C68:D68"/>
    <mergeCell ref="A4:D4"/>
    <mergeCell ref="A63:B63"/>
    <mergeCell ref="C63:D63"/>
    <mergeCell ref="A68:B68"/>
    <mergeCell ref="A64:D64"/>
    <mergeCell ref="A2:D2"/>
    <mergeCell ref="C70:D70"/>
    <mergeCell ref="A60:D60"/>
    <mergeCell ref="C69:D69"/>
    <mergeCell ref="A66:D66"/>
    <mergeCell ref="A69:B69"/>
  </mergeCells>
  <pageMargins left="0.5" right="0.5" top="0.7" bottom="0.7" header="0.3" footer="0.3"/>
  <pageSetup orientation="portrait" paperSize="9" fitToHeight="0" fitToWidth="1"/>
  <headerFooter>
    <oddHeader>&amp;LRahman Anis &amp; Co._x000a_Chartered Accountants&amp;RModern Pharmaceuticals Limited_x000a_Year ended 30 June 2026</oddHeader>
    <oddFooter>&amp;LConfidential — Statutory audit working / FS pack&amp;CPage &amp;P of &amp;N&amp;RSOFP</oddFooter>
    <evenHeader/>
    <evenFooter/>
    <firstHeader/>
    <firstFooter/>
  </headerFooter>
</worksheet>
</file>

<file path=xl/worksheets/sheet6.xml><?xml version="1.0" encoding="utf-8"?>
<worksheet xmlns="http://schemas.openxmlformats.org/spreadsheetml/2006/main">
  <sheetPr>
    <tabColor rgb="001B365D"/>
    <outlinePr summaryBelow="1" summaryRight="1"/>
    <pageSetUpPr fitToPage="1"/>
  </sheetPr>
  <dimension ref="A1:D43"/>
  <sheetViews>
    <sheetView showGridLines="0" zoomScale="100" workbookViewId="0">
      <selection activeCell="A1" sqref="A1"/>
    </sheetView>
  </sheetViews>
  <sheetFormatPr baseColWidth="8" defaultRowHeight="15"/>
  <cols>
    <col width="56" customWidth="1" min="1" max="1"/>
    <col width="12" customWidth="1" min="2" max="2"/>
    <col width="22" customWidth="1" min="3" max="3"/>
    <col width="24" customWidth="1" min="4" max="4"/>
  </cols>
  <sheetData>
    <row r="1" ht="22" customHeight="1">
      <c r="A1" s="1" t="inlineStr">
        <is>
          <t>RAHMAN ANIS &amp; CO.</t>
        </is>
      </c>
    </row>
    <row r="2" ht="16" customHeight="1">
      <c r="A2" s="3" t="inlineStr">
        <is>
          <t>Chartered Accountants</t>
        </is>
      </c>
    </row>
    <row r="3" ht="8" customHeight="1"/>
    <row r="4" ht="20" customHeight="1">
      <c r="A4" s="30" t="inlineStr">
        <is>
          <t>Modern Pharmaceuticals Limited</t>
        </is>
      </c>
    </row>
    <row r="5" ht="18" customHeight="1">
      <c r="A5" s="2" t="inlineStr">
        <is>
          <t>Statement of Profit or Loss and Other Comprehensive Income</t>
        </is>
      </c>
    </row>
    <row r="6" ht="16" customHeight="1">
      <c r="A6" s="31" t="inlineStr">
        <is>
          <t>For the year ended 30 June 2026</t>
        </is>
      </c>
    </row>
    <row r="7" ht="6" customHeight="1">
      <c r="A7" s="32" t="n"/>
      <c r="B7" s="32" t="n"/>
      <c r="C7" s="32" t="n"/>
      <c r="D7" s="32" t="n"/>
    </row>
    <row r="8">
      <c r="A8" s="41" t="inlineStr">
        <is>
          <t>Colour key:  YELLOW = 30 June 2026 INK (type amount)    BLUE = 30 June 2025 last year audited comparative    GREEN = auto formula (do not type)</t>
        </is>
      </c>
    </row>
    <row r="9" ht="42" customHeight="1">
      <c r="A9" s="6" t="inlineStr">
        <is>
          <t>Particulars</t>
        </is>
      </c>
      <c r="B9" s="6" t="inlineStr">
        <is>
          <t>Notes</t>
        </is>
      </c>
      <c r="C9" s="42" t="inlineStr">
        <is>
          <t>Year ended
30 June 2026
Taka
(INK — fill)</t>
        </is>
      </c>
      <c r="D9" s="43" t="inlineStr">
        <is>
          <t>Year ended
30 June 2025
Taka
(Last year audited)</t>
        </is>
      </c>
    </row>
    <row r="10" ht="18" customHeight="1">
      <c r="A10" s="62" t="inlineStr">
        <is>
          <t>Revenue</t>
        </is>
      </c>
      <c r="B10" s="33" t="inlineStr">
        <is>
          <t>24.00</t>
        </is>
      </c>
      <c r="C10" s="50">
        <f>'10_Notes_PL'!C15</f>
        <v/>
      </c>
      <c r="D10" s="50">
        <f>'10_Notes_PL'!D15</f>
        <v/>
      </c>
    </row>
    <row r="11" ht="18" customHeight="1">
      <c r="A11" s="62" t="inlineStr">
        <is>
          <t>Cost of sales</t>
        </is>
      </c>
      <c r="B11" s="33" t="inlineStr">
        <is>
          <t>25.00</t>
        </is>
      </c>
      <c r="C11" s="50">
        <f>'10_Notes_PL'!C17</f>
        <v/>
      </c>
      <c r="D11" s="50">
        <f>'10_Notes_PL'!D17</f>
        <v/>
      </c>
    </row>
    <row r="12" ht="18" customHeight="1">
      <c r="A12" s="52" t="inlineStr">
        <is>
          <t>Gross profit</t>
        </is>
      </c>
      <c r="B12" s="53" t="n"/>
      <c r="C12" s="54">
        <f>C10-C11</f>
        <v/>
      </c>
      <c r="D12" s="54">
        <f>D10-D11</f>
        <v/>
      </c>
    </row>
    <row r="13" ht="18" customHeight="1">
      <c r="A13" s="62" t="inlineStr">
        <is>
          <t>Other income</t>
        </is>
      </c>
      <c r="B13" s="33" t="inlineStr">
        <is>
          <t>26.00</t>
        </is>
      </c>
      <c r="C13" s="50">
        <f>'10_Notes_PL'!C23</f>
        <v/>
      </c>
      <c r="D13" s="50">
        <f>'10_Notes_PL'!D23</f>
        <v/>
      </c>
    </row>
    <row r="14" ht="18" customHeight="1">
      <c r="A14" s="62" t="inlineStr">
        <is>
          <t>Administrative expenses</t>
        </is>
      </c>
      <c r="B14" s="33" t="inlineStr">
        <is>
          <t>27.00</t>
        </is>
      </c>
      <c r="C14" s="50">
        <f>'10_Notes_PL'!C25</f>
        <v/>
      </c>
      <c r="D14" s="50">
        <f>'10_Notes_PL'!D25</f>
        <v/>
      </c>
    </row>
    <row r="15" ht="18" customHeight="1">
      <c r="A15" s="62" t="inlineStr">
        <is>
          <t>Selling and distribution expenses</t>
        </is>
      </c>
      <c r="B15" s="33" t="inlineStr">
        <is>
          <t>28.00</t>
        </is>
      </c>
      <c r="C15" s="50">
        <f>'10_Notes_PL'!C27</f>
        <v/>
      </c>
      <c r="D15" s="50">
        <f>'10_Notes_PL'!D27</f>
        <v/>
      </c>
    </row>
    <row r="16" ht="18" customHeight="1">
      <c r="A16" s="52" t="inlineStr">
        <is>
          <t>Operating profit</t>
        </is>
      </c>
      <c r="B16" s="53" t="n"/>
      <c r="C16" s="54">
        <f>C12+C13-C14-C15</f>
        <v/>
      </c>
      <c r="D16" s="54">
        <f>D12+D13-D14-D15</f>
        <v/>
      </c>
    </row>
    <row r="17" ht="18" customHeight="1">
      <c r="A17" s="62" t="inlineStr">
        <is>
          <t>Finance costs</t>
        </is>
      </c>
      <c r="B17" s="33" t="inlineStr">
        <is>
          <t>29.00</t>
        </is>
      </c>
      <c r="C17" s="50">
        <f>'10_Notes_PL'!C34</f>
        <v/>
      </c>
      <c r="D17" s="50">
        <f>'10_Notes_PL'!D34</f>
        <v/>
      </c>
    </row>
    <row r="18" ht="18" customHeight="1">
      <c r="A18" s="62" t="inlineStr">
        <is>
          <t>Finance income</t>
        </is>
      </c>
      <c r="B18" s="33" t="inlineStr">
        <is>
          <t>30.00</t>
        </is>
      </c>
      <c r="C18" s="50">
        <f>'10_Notes_PL'!C36</f>
        <v/>
      </c>
      <c r="D18" s="50">
        <f>'10_Notes_PL'!D36</f>
        <v/>
      </c>
    </row>
    <row r="19" ht="18" customHeight="1">
      <c r="A19" s="52" t="inlineStr">
        <is>
          <t>Profit before WPPF and tax</t>
        </is>
      </c>
      <c r="B19" s="53" t="n"/>
      <c r="C19" s="54">
        <f>C16-C17+C18</f>
        <v/>
      </c>
      <c r="D19" s="54">
        <f>D16-D17+D18</f>
        <v/>
      </c>
    </row>
    <row r="20" ht="18" customHeight="1">
      <c r="A20" s="62" t="inlineStr">
        <is>
          <t>Contribution to Workers' Profit Participation Fund</t>
        </is>
      </c>
      <c r="B20" s="33" t="inlineStr">
        <is>
          <t>31.00</t>
        </is>
      </c>
      <c r="C20" s="50">
        <f>'10_Notes_PL'!C38</f>
        <v/>
      </c>
      <c r="D20" s="50">
        <f>'10_Notes_PL'!D38</f>
        <v/>
      </c>
    </row>
    <row r="21" ht="18" customHeight="1">
      <c r="A21" s="52" t="inlineStr">
        <is>
          <t>Profit before tax</t>
        </is>
      </c>
      <c r="B21" s="53" t="n"/>
      <c r="C21" s="54">
        <f>C19-C20</f>
        <v/>
      </c>
      <c r="D21" s="54">
        <f>D19-D20</f>
        <v/>
      </c>
    </row>
    <row r="22" ht="18" customHeight="1">
      <c r="A22" s="62" t="inlineStr">
        <is>
          <t>Income tax expense</t>
        </is>
      </c>
      <c r="B22" s="33" t="inlineStr">
        <is>
          <t>32.00</t>
        </is>
      </c>
      <c r="C22" s="50">
        <f>'10_Notes_PL'!C42</f>
        <v/>
      </c>
      <c r="D22" s="50">
        <f>'10_Notes_PL'!D42</f>
        <v/>
      </c>
    </row>
    <row r="23" ht="18" customHeight="1">
      <c r="A23" s="44" t="inlineStr">
        <is>
          <t>Profit for the year</t>
        </is>
      </c>
      <c r="B23" s="6" t="n"/>
      <c r="C23" s="55">
        <f>C21-C22</f>
        <v/>
      </c>
      <c r="D23" s="55">
        <f>D21-D22</f>
        <v/>
      </c>
    </row>
    <row r="24" ht="8" customHeight="1">
      <c r="A24" s="56" t="n"/>
      <c r="B24" s="57" t="n"/>
    </row>
    <row r="25" ht="18" customHeight="1">
      <c r="A25" s="47" t="inlineStr">
        <is>
          <t>Other comprehensive income</t>
        </is>
      </c>
      <c r="B25" s="9" t="n"/>
      <c r="C25" s="48" t="n"/>
      <c r="D25" s="48" t="n"/>
    </row>
    <row r="26" ht="18" customHeight="1">
      <c r="A26" s="49" t="inlineStr">
        <is>
          <t>Items that will not be reclassified to profit or loss (INK)</t>
        </is>
      </c>
      <c r="B26" s="33" t="n"/>
      <c r="C26" s="63" t="n"/>
      <c r="D26" s="64" t="n"/>
    </row>
    <row r="27" ht="18" customHeight="1">
      <c r="A27" s="44" t="inlineStr">
        <is>
          <t>Total comprehensive income for the year</t>
        </is>
      </c>
      <c r="B27" s="6" t="n"/>
      <c r="C27" s="55">
        <f>C23+C26</f>
        <v/>
      </c>
      <c r="D27" s="55">
        <f>D23+D26</f>
        <v/>
      </c>
    </row>
    <row r="28" ht="8" customHeight="1">
      <c r="A28" s="56" t="n"/>
      <c r="B28" s="57" t="n"/>
    </row>
    <row r="29" ht="18" customHeight="1">
      <c r="A29" s="47" t="inlineStr">
        <is>
          <t>Earnings per share</t>
        </is>
      </c>
      <c r="B29" s="9" t="n"/>
      <c r="C29" s="48" t="n"/>
      <c r="D29" s="48" t="n"/>
    </row>
    <row r="30" ht="18" customHeight="1">
      <c r="A30" s="62" t="inlineStr">
        <is>
          <t>Basic earnings per share (Taka)</t>
        </is>
      </c>
      <c r="B30" s="33" t="inlineStr">
        <is>
          <t>33.00</t>
        </is>
      </c>
      <c r="C30" s="65">
        <f>'10_Notes_PL'!C46</f>
        <v/>
      </c>
      <c r="D30" s="65">
        <f>'10_Notes_PL'!D46</f>
        <v/>
      </c>
    </row>
    <row r="33">
      <c r="A33" s="59" t="inlineStr">
        <is>
          <t>The annexed notes 1 to 39 form an integral part of these financial statements.</t>
        </is>
      </c>
    </row>
    <row r="35">
      <c r="A35" s="31" t="inlineStr">
        <is>
          <t>____________________________</t>
        </is>
      </c>
      <c r="C35" s="31" t="inlineStr">
        <is>
          <t>____________________________</t>
        </is>
      </c>
    </row>
    <row r="36">
      <c r="A36" s="60" t="inlineStr">
        <is>
          <t>Director</t>
        </is>
      </c>
      <c r="C36" s="60" t="inlineStr">
        <is>
          <t>Director</t>
        </is>
      </c>
    </row>
    <row r="37">
      <c r="A37" s="61" t="inlineStr">
        <is>
          <t>Modern Pharmaceuticals Limited</t>
        </is>
      </c>
    </row>
    <row r="39">
      <c r="A39" s="59" t="inlineStr">
        <is>
          <t>Signed in terms of our separate report of even date.</t>
        </is>
      </c>
    </row>
    <row r="41">
      <c r="A41" s="11" t="inlineStr">
        <is>
          <t>Dhaka</t>
        </is>
      </c>
      <c r="C41" s="60" t="inlineStr">
        <is>
          <t>Rahman Anis &amp; Co.</t>
        </is>
      </c>
    </row>
    <row r="42">
      <c r="A42" s="11" t="inlineStr">
        <is>
          <t>Dated: ________________</t>
        </is>
      </c>
      <c r="C42" s="31" t="inlineStr">
        <is>
          <t>Chartered Accountants</t>
        </is>
      </c>
    </row>
    <row r="43">
      <c r="C43" s="61" t="inlineStr">
        <is>
          <t>DVC: ________________________</t>
        </is>
      </c>
    </row>
  </sheetData>
  <mergeCells count="18">
    <mergeCell ref="A1:D1"/>
    <mergeCell ref="A5:D5"/>
    <mergeCell ref="A37:D37"/>
    <mergeCell ref="C43:D43"/>
    <mergeCell ref="A8:D8"/>
    <mergeCell ref="A6:D6"/>
    <mergeCell ref="A41:B41"/>
    <mergeCell ref="A4:D4"/>
    <mergeCell ref="C41:D41"/>
    <mergeCell ref="C42:D42"/>
    <mergeCell ref="A39:D39"/>
    <mergeCell ref="A42:B42"/>
    <mergeCell ref="C36:D36"/>
    <mergeCell ref="A36:B36"/>
    <mergeCell ref="A2:D2"/>
    <mergeCell ref="A33:D33"/>
    <mergeCell ref="C35:D35"/>
    <mergeCell ref="A35:B35"/>
  </mergeCells>
  <pageMargins left="0.5" right="0.5" top="0.7" bottom="0.7" header="0.3" footer="0.3"/>
  <pageSetup orientation="portrait" paperSize="9" fitToHeight="0" fitToWidth="1"/>
  <headerFooter>
    <oddHeader>&amp;LRahman Anis &amp; Co._x000a_Chartered Accountants&amp;RModern Pharmaceuticals Limited_x000a_Year ended 30 June 2026</oddHeader>
    <oddFooter>&amp;LConfidential — Statutory audit working / FS pack&amp;CPage &amp;P of &amp;N&amp;RSOPL</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tabColor rgb="001B365D"/>
    <outlinePr summaryBelow="1" summaryRight="1"/>
    <pageSetUpPr fitToPage="1"/>
  </sheetPr>
  <dimension ref="A1:F39"/>
  <sheetViews>
    <sheetView showGridLines="0" zoomScale="100" workbookViewId="0">
      <selection activeCell="A1" sqref="A1"/>
    </sheetView>
  </sheetViews>
  <sheetFormatPr baseColWidth="8" defaultRowHeight="15"/>
  <cols>
    <col width="42" customWidth="1" min="1" max="1"/>
    <col width="18" customWidth="1" min="2" max="2"/>
    <col width="18" customWidth="1" min="3" max="3"/>
    <col width="18" customWidth="1" min="4" max="4"/>
    <col width="18" customWidth="1" min="5" max="5"/>
    <col width="18" customWidth="1" min="6" max="6"/>
  </cols>
  <sheetData>
    <row r="1" ht="22" customHeight="1">
      <c r="A1" s="1" t="inlineStr">
        <is>
          <t>RAHMAN ANIS &amp; CO.</t>
        </is>
      </c>
    </row>
    <row r="2" ht="16" customHeight="1">
      <c r="A2" s="3" t="inlineStr">
        <is>
          <t>Chartered Accountants</t>
        </is>
      </c>
    </row>
    <row r="3" ht="8" customHeight="1"/>
    <row r="4" ht="20" customHeight="1">
      <c r="A4" s="30" t="inlineStr">
        <is>
          <t>Modern Pharmaceuticals Limited</t>
        </is>
      </c>
    </row>
    <row r="5" ht="18" customHeight="1">
      <c r="A5" s="2" t="inlineStr">
        <is>
          <t>Statement of Changes in Equity</t>
        </is>
      </c>
    </row>
    <row r="6" ht="16" customHeight="1">
      <c r="A6" s="31" t="inlineStr">
        <is>
          <t>For the year ended 30 June 2026</t>
        </is>
      </c>
    </row>
    <row r="7" ht="6" customHeight="1">
      <c r="A7" s="32" t="n"/>
      <c r="B7" s="32" t="n"/>
      <c r="C7" s="32" t="n"/>
      <c r="D7" s="32" t="n"/>
      <c r="E7" s="32" t="n"/>
      <c r="F7" s="32" t="n"/>
    </row>
    <row r="8">
      <c r="A8" s="41" t="inlineStr">
        <is>
          <t>Colour key:  YELLOW = 30 June 2026 INK (type amount)    BLUE = 30 June 2025 last year audited comparative    GREEN = auto formula (do not type)</t>
        </is>
      </c>
    </row>
    <row r="9" ht="36" customHeight="1">
      <c r="A9" s="6" t="inlineStr">
        <is>
          <t>Particulars</t>
        </is>
      </c>
      <c r="B9" s="6" t="inlineStr">
        <is>
          <t>Share capital</t>
        </is>
      </c>
      <c r="C9" s="6" t="inlineStr">
        <is>
          <t>Share premium</t>
        </is>
      </c>
      <c r="D9" s="6" t="inlineStr">
        <is>
          <t>Revaluation / other reserve</t>
        </is>
      </c>
      <c r="E9" s="6" t="inlineStr">
        <is>
          <t>Retained earnings</t>
        </is>
      </c>
      <c r="F9" s="6" t="inlineStr">
        <is>
          <t>Total equity</t>
        </is>
      </c>
    </row>
    <row r="10">
      <c r="A10" s="36" t="inlineStr">
        <is>
          <t>Balance as at 01 July 2024 (opening of last year) — INK/BLUE from 2024 FS if needed</t>
        </is>
      </c>
      <c r="B10" s="64" t="n"/>
      <c r="C10" s="64" t="n"/>
      <c r="D10" s="64" t="n"/>
      <c r="E10" s="64" t="n"/>
      <c r="F10" s="66">
        <f>SUM(B10:E10)</f>
        <v/>
      </c>
    </row>
    <row r="11">
      <c r="A11" s="39" t="inlineStr">
        <is>
          <t>Profit for the year ended 30 June 2025 (last year PAT)</t>
        </is>
      </c>
      <c r="B11" s="66" t="n">
        <v>0</v>
      </c>
      <c r="C11" s="66" t="n">
        <v>0</v>
      </c>
      <c r="D11" s="66" t="n">
        <v>0</v>
      </c>
      <c r="E11" s="51">
        <f>05_SOPL!D23</f>
        <v/>
      </c>
      <c r="F11" s="66">
        <f>SUM(B11:E11)</f>
        <v/>
      </c>
    </row>
    <row r="12">
      <c r="A12" s="39" t="inlineStr">
        <is>
          <t>Other comprehensive income — year ended 30 June 2025</t>
        </is>
      </c>
      <c r="B12" s="64" t="n"/>
      <c r="C12" s="64" t="n"/>
      <c r="D12" s="64" t="n"/>
      <c r="E12" s="50">
        <f>05_SOPL!D26</f>
        <v/>
      </c>
      <c r="F12" s="66">
        <f>SUM(B12:E12)</f>
        <v/>
      </c>
    </row>
    <row r="13">
      <c r="A13" s="39" t="inlineStr">
        <is>
          <t>Dividend paid / issued during year ended 30 June 2025 (enter as negative)</t>
        </is>
      </c>
      <c r="B13" s="64" t="n"/>
      <c r="C13" s="64" t="n"/>
      <c r="D13" s="64" t="n"/>
      <c r="E13" s="64" t="n"/>
      <c r="F13" s="66">
        <f>SUM(B13:E13)</f>
        <v/>
      </c>
    </row>
    <row r="14">
      <c r="A14" s="40" t="inlineStr">
        <is>
          <t>Balance as at 30 June 2025 (last year audited) — equity face</t>
        </is>
      </c>
      <c r="B14" s="67">
        <f>'09_Notes_SOFP'!D72</f>
        <v/>
      </c>
      <c r="C14" s="67">
        <f>'09_Notes_SOFP'!D73</f>
        <v/>
      </c>
      <c r="D14" s="67">
        <f>'09_Notes_SOFP'!D74+'09_Notes_SOFP'!D75</f>
        <v/>
      </c>
      <c r="E14" s="67">
        <f>'09_Notes_SOFP'!D77</f>
        <v/>
      </c>
      <c r="F14" s="67">
        <f>SUM(B14:E14)</f>
        <v/>
      </c>
    </row>
    <row r="15" ht="10" customHeight="1"/>
    <row r="16">
      <c r="A16" s="39" t="inlineStr">
        <is>
          <t>Balance as at 01 July 2025</t>
        </is>
      </c>
      <c r="B16" s="50">
        <f>B14</f>
        <v/>
      </c>
      <c r="C16" s="50">
        <f>C14</f>
        <v/>
      </c>
      <c r="D16" s="50">
        <f>D14</f>
        <v/>
      </c>
      <c r="E16" s="50">
        <f>E14</f>
        <v/>
      </c>
      <c r="F16" s="50">
        <f>F14</f>
        <v/>
      </c>
    </row>
    <row r="17">
      <c r="A17" s="39" t="inlineStr">
        <is>
          <t>Profit for the year ended 30 June 2026</t>
        </is>
      </c>
      <c r="B17" s="66" t="n">
        <v>0</v>
      </c>
      <c r="C17" s="66" t="n">
        <v>0</v>
      </c>
      <c r="D17" s="66" t="n">
        <v>0</v>
      </c>
      <c r="E17" s="50">
        <f>05_SOPL!C23</f>
        <v/>
      </c>
      <c r="F17" s="66">
        <f>SUM(B17:E17)</f>
        <v/>
      </c>
    </row>
    <row r="18">
      <c r="A18" s="39" t="inlineStr">
        <is>
          <t>Other comprehensive income — year ended 30 June 2026</t>
        </is>
      </c>
      <c r="B18" s="63" t="n"/>
      <c r="C18" s="63" t="n"/>
      <c r="D18" s="63" t="n"/>
      <c r="E18" s="50">
        <f>05_SOPL!C26</f>
        <v/>
      </c>
      <c r="F18" s="66">
        <f>SUM(B18:E18)</f>
        <v/>
      </c>
    </row>
    <row r="19">
      <c r="A19" s="39" t="inlineStr">
        <is>
          <t>Issue of share capital during the year (INK)</t>
        </is>
      </c>
      <c r="B19" s="63" t="n"/>
      <c r="C19" s="63" t="n"/>
      <c r="D19" s="63" t="n"/>
      <c r="E19" s="63" t="n"/>
      <c r="F19" s="66">
        <f>SUM(B19:E19)</f>
        <v/>
      </c>
    </row>
    <row r="20">
      <c r="A20" s="39" t="inlineStr">
        <is>
          <t>Dividend declared / paid during year ended 30 June 2026 (enter as negative)</t>
        </is>
      </c>
      <c r="B20" s="63" t="n"/>
      <c r="C20" s="63" t="n"/>
      <c r="D20" s="63" t="n"/>
      <c r="E20" s="63" t="n"/>
      <c r="F20" s="66">
        <f>SUM(B20:E20)</f>
        <v/>
      </c>
    </row>
    <row r="21">
      <c r="A21" s="68" t="inlineStr">
        <is>
          <t>Balance as at 30 June 2026</t>
        </is>
      </c>
      <c r="B21" s="55">
        <f>B16+B17+B18+B19+B20</f>
        <v/>
      </c>
      <c r="C21" s="55">
        <f>C16+C17+C18+C19+C20</f>
        <v/>
      </c>
      <c r="D21" s="55">
        <f>D16+D17+D18+D19+D20</f>
        <v/>
      </c>
      <c r="E21" s="55">
        <f>E16+E17+E18+E19+E20</f>
        <v/>
      </c>
      <c r="F21" s="69">
        <f>SUM(B21:E21)</f>
        <v/>
      </c>
    </row>
    <row r="23">
      <c r="A23" s="35" t="inlineStr">
        <is>
          <t>Tie-out vs Notes 14 / 15 (difference must be NIL)</t>
        </is>
      </c>
    </row>
    <row r="24">
      <c r="A24" t="inlineStr">
        <is>
          <t>Share capital per SOCIE (30 June 2026) vs Note 14 paid-up</t>
        </is>
      </c>
      <c r="E24" s="50">
        <f>B21-'09_Notes_SOFP'!C72</f>
        <v/>
      </c>
    </row>
    <row r="25">
      <c r="A25" t="inlineStr">
        <is>
          <t>Share capital per SOCIE (30 June 2025) vs Note 14 paid-up LY</t>
        </is>
      </c>
      <c r="E25" s="50">
        <f>B14-'09_Notes_SOFP'!D72</f>
        <v/>
      </c>
    </row>
    <row r="26">
      <c r="A26" t="inlineStr">
        <is>
          <t>Share premium SOCIE CY vs Note</t>
        </is>
      </c>
      <c r="E26" s="50">
        <f>C21-'09_Notes_SOFP'!C73</f>
        <v/>
      </c>
    </row>
    <row r="28">
      <c r="A28" s="70" t="inlineStr">
        <is>
          <t>Suggested: put last year audited equity opening in row 10, and last year closing will compute in row 14.</t>
        </is>
      </c>
    </row>
    <row r="29">
      <c r="A29" s="59" t="inlineStr">
        <is>
          <t>The annexed notes 1 to 39 form an integral part of these financial statements.</t>
        </is>
      </c>
    </row>
    <row r="31">
      <c r="A31" s="31" t="inlineStr">
        <is>
          <t>____________________________</t>
        </is>
      </c>
      <c r="C31" s="31" t="inlineStr">
        <is>
          <t>____________________________</t>
        </is>
      </c>
    </row>
    <row r="32">
      <c r="A32" s="60" t="inlineStr">
        <is>
          <t>Director</t>
        </is>
      </c>
      <c r="C32" s="60" t="inlineStr">
        <is>
          <t>Director</t>
        </is>
      </c>
    </row>
    <row r="33">
      <c r="A33" s="61" t="inlineStr">
        <is>
          <t>Modern Pharmaceuticals Limited</t>
        </is>
      </c>
    </row>
    <row r="35">
      <c r="A35" s="59" t="inlineStr">
        <is>
          <t>Signed in terms of our separate report of even date.</t>
        </is>
      </c>
    </row>
    <row r="37">
      <c r="A37" s="11" t="inlineStr">
        <is>
          <t>Dhaka</t>
        </is>
      </c>
      <c r="C37" s="60" t="inlineStr">
        <is>
          <t>Rahman Anis &amp; Co.</t>
        </is>
      </c>
    </row>
    <row r="38">
      <c r="A38" s="11" t="inlineStr">
        <is>
          <t>Dated: ________________</t>
        </is>
      </c>
      <c r="C38" s="31" t="inlineStr">
        <is>
          <t>Chartered Accountants</t>
        </is>
      </c>
    </row>
    <row r="39">
      <c r="C39" s="61" t="inlineStr">
        <is>
          <t>DVC: ________________________</t>
        </is>
      </c>
    </row>
  </sheetData>
  <mergeCells count="18">
    <mergeCell ref="A2:F2"/>
    <mergeCell ref="A33:F33"/>
    <mergeCell ref="A38:B38"/>
    <mergeCell ref="C31:F31"/>
    <mergeCell ref="C39:F39"/>
    <mergeCell ref="A1:F1"/>
    <mergeCell ref="A5:F5"/>
    <mergeCell ref="A8:F8"/>
    <mergeCell ref="A32:B32"/>
    <mergeCell ref="A6:F6"/>
    <mergeCell ref="A37:B37"/>
    <mergeCell ref="C37:F37"/>
    <mergeCell ref="A35:F35"/>
    <mergeCell ref="A4:F4"/>
    <mergeCell ref="C32:F32"/>
    <mergeCell ref="C38:F38"/>
    <mergeCell ref="A31:B31"/>
    <mergeCell ref="A29:F29"/>
  </mergeCells>
  <pageMargins left="0.5" right="0.5" top="0.7" bottom="0.7" header="0.3" footer="0.3"/>
  <pageSetup orientation="landscape" paperSize="9" fitToHeight="0" fitToWidth="1"/>
  <headerFooter>
    <oddHeader>&amp;LRahman Anis &amp; Co._x000a_Chartered Accountants&amp;RModern Pharmaceuticals Limited_x000a_Year ended 30 June 2026</oddHeader>
    <oddFooter>&amp;LConfidential — Statutory audit working / FS pack&amp;CPage &amp;P of &amp;N&amp;RSOCIE</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tabColor rgb="001B365D"/>
    <outlinePr summaryBelow="1" summaryRight="1"/>
    <pageSetUpPr fitToPage="1"/>
  </sheetPr>
  <dimension ref="A1:D67"/>
  <sheetViews>
    <sheetView showGridLines="0" zoomScale="100" workbookViewId="0">
      <selection activeCell="A1" sqref="A1"/>
    </sheetView>
  </sheetViews>
  <sheetFormatPr baseColWidth="8" defaultRowHeight="15"/>
  <cols>
    <col width="62" customWidth="1" min="1" max="1"/>
    <col width="12" customWidth="1" min="2" max="2"/>
    <col width="22" customWidth="1" min="3" max="3"/>
    <col width="24" customWidth="1" min="4" max="4"/>
  </cols>
  <sheetData>
    <row r="1" ht="22" customHeight="1">
      <c r="A1" s="1" t="inlineStr">
        <is>
          <t>RAHMAN ANIS &amp; CO.</t>
        </is>
      </c>
    </row>
    <row r="2" ht="16" customHeight="1">
      <c r="A2" s="3" t="inlineStr">
        <is>
          <t>Chartered Accountants</t>
        </is>
      </c>
    </row>
    <row r="3" ht="8" customHeight="1"/>
    <row r="4" ht="20" customHeight="1">
      <c r="A4" s="30" t="inlineStr">
        <is>
          <t>Modern Pharmaceuticals Limited</t>
        </is>
      </c>
    </row>
    <row r="5" ht="18" customHeight="1">
      <c r="A5" s="2" t="inlineStr">
        <is>
          <t>Statement of Cash Flows</t>
        </is>
      </c>
    </row>
    <row r="6" ht="16" customHeight="1">
      <c r="A6" s="31" t="inlineStr">
        <is>
          <t>For the year ended 30 June 2026</t>
        </is>
      </c>
    </row>
    <row r="7" ht="6" customHeight="1">
      <c r="A7" s="32" t="n"/>
      <c r="B7" s="32" t="n"/>
      <c r="C7" s="32" t="n"/>
      <c r="D7" s="32" t="n"/>
    </row>
    <row r="8">
      <c r="A8" s="41" t="inlineStr">
        <is>
          <t>Colour key:  YELLOW = 30 June 2026 INK (type amount)    BLUE = 30 June 2025 last year audited comparative    GREEN = auto formula (do not type)</t>
        </is>
      </c>
    </row>
    <row r="9" ht="42" customHeight="1">
      <c r="A9" s="6" t="inlineStr">
        <is>
          <t>Particulars</t>
        </is>
      </c>
      <c r="B9" s="6" t="inlineStr">
        <is>
          <t>Notes</t>
        </is>
      </c>
      <c r="C9" s="42" t="inlineStr">
        <is>
          <t>Year ended
30 June 2026
Taka</t>
        </is>
      </c>
      <c r="D9" s="43" t="inlineStr">
        <is>
          <t>Year ended
30 June 2025
Taka</t>
        </is>
      </c>
    </row>
    <row r="10" ht="22" customHeight="1">
      <c r="A10" s="44" t="inlineStr">
        <is>
          <t>A. Cash flows from operating activities</t>
        </is>
      </c>
      <c r="B10" s="45" t="n"/>
      <c r="C10" s="46" t="n"/>
      <c r="D10" s="46" t="n"/>
    </row>
    <row r="11" ht="18" customHeight="1">
      <c r="A11" s="49" t="inlineStr">
        <is>
          <t>Profit before tax</t>
        </is>
      </c>
      <c r="B11" s="33" t="n"/>
      <c r="C11" s="50">
        <f>05_SOPL!C21</f>
        <v/>
      </c>
      <c r="D11" s="50">
        <f>05_SOPL!D21</f>
        <v/>
      </c>
    </row>
    <row r="12" ht="18" customHeight="1">
      <c r="A12" s="47" t="inlineStr">
        <is>
          <t>Adjustments for:</t>
        </is>
      </c>
      <c r="B12" s="9" t="n"/>
      <c r="C12" s="48" t="n"/>
      <c r="D12" s="48" t="n"/>
    </row>
    <row r="13" ht="18" customHeight="1">
      <c r="A13" s="49" t="inlineStr">
        <is>
          <t>Depreciation of PPE</t>
        </is>
      </c>
      <c r="B13" s="33" t="n"/>
      <c r="C13" s="50">
        <f>'12_PPE_Schedule'!J20</f>
        <v/>
      </c>
      <c r="D13" s="64" t="n"/>
    </row>
    <row r="14" ht="18" customHeight="1">
      <c r="A14" s="49" t="inlineStr">
        <is>
          <t>Amortisation of intangibles</t>
        </is>
      </c>
      <c r="B14" s="33" t="n"/>
      <c r="C14" s="50">
        <f>'09_Notes_SOFP'!C20</f>
        <v/>
      </c>
      <c r="D14" s="50">
        <f>'09_Notes_SOFP'!D20</f>
        <v/>
      </c>
    </row>
    <row r="15" ht="18" customHeight="1">
      <c r="A15" s="49" t="inlineStr">
        <is>
          <t>Depreciation of ROU assets</t>
        </is>
      </c>
      <c r="B15" s="33" t="n"/>
      <c r="C15" s="50">
        <f>'09_Notes_SOFP'!C25</f>
        <v/>
      </c>
      <c r="D15" s="50">
        <f>'09_Notes_SOFP'!D25</f>
        <v/>
      </c>
    </row>
    <row r="16" ht="18" customHeight="1">
      <c r="A16" s="49" t="inlineStr">
        <is>
          <t>Finance costs</t>
        </is>
      </c>
      <c r="B16" s="33" t="n"/>
      <c r="C16" s="50">
        <f>05_SOPL!C17</f>
        <v/>
      </c>
      <c r="D16" s="50">
        <f>05_SOPL!D17</f>
        <v/>
      </c>
    </row>
    <row r="17" ht="18" customHeight="1">
      <c r="A17" s="49" t="inlineStr">
        <is>
          <t>Finance / interest income</t>
        </is>
      </c>
      <c r="B17" s="33" t="n"/>
      <c r="C17" s="50">
        <f>-(05_SOPL!C18+'10_Notes_PL'!C19)</f>
        <v/>
      </c>
      <c r="D17" s="50">
        <f>-(05_SOPL!D18+'10_Notes_PL'!D19)</f>
        <v/>
      </c>
    </row>
    <row r="18" ht="18" customHeight="1">
      <c r="A18" s="49" t="inlineStr">
        <is>
          <t>(Gain) / loss on disposal of PPE</t>
        </is>
      </c>
      <c r="B18" s="33" t="n"/>
      <c r="C18" s="50">
        <f>-'12_PPE_Schedule'!C50</f>
        <v/>
      </c>
      <c r="D18" s="64" t="n"/>
    </row>
    <row r="19" ht="18" customHeight="1">
      <c r="A19" s="49" t="inlineStr">
        <is>
          <t>WPPF charged</t>
        </is>
      </c>
      <c r="B19" s="33" t="n"/>
      <c r="C19" s="50">
        <f>05_SOPL!C20</f>
        <v/>
      </c>
      <c r="D19" s="50">
        <f>05_SOPL!D20</f>
        <v/>
      </c>
    </row>
    <row r="20" ht="18" customHeight="1">
      <c r="A20" s="52" t="inlineStr">
        <is>
          <t>Operating profit before working capital changes</t>
        </is>
      </c>
      <c r="B20" s="53" t="n"/>
      <c r="C20" s="54">
        <f>C11+C13+C14+C15+C16+C17+C18+C19</f>
        <v/>
      </c>
      <c r="D20" s="54">
        <f>D11+D13+D14+D15+D16+D17+D18+D19</f>
        <v/>
      </c>
    </row>
    <row r="21" ht="18" customHeight="1">
      <c r="A21" s="47" t="inlineStr">
        <is>
          <t>Changes in working capital:</t>
        </is>
      </c>
      <c r="B21" s="9" t="n"/>
      <c r="C21" s="48" t="n"/>
      <c r="D21" s="48" t="n"/>
    </row>
    <row r="22" ht="18" customHeight="1">
      <c r="A22" s="49" t="inlineStr">
        <is>
          <t>(Increase) / decrease in inventories</t>
        </is>
      </c>
      <c r="B22" s="33" t="n"/>
      <c r="C22" s="50">
        <f>04_SOFP!D21-04_SOFP!C21</f>
        <v/>
      </c>
      <c r="D22" s="64" t="n"/>
    </row>
    <row r="23" ht="18" customHeight="1">
      <c r="A23" s="49" t="inlineStr">
        <is>
          <t>(Increase) / decrease in trade and other receivables</t>
        </is>
      </c>
      <c r="B23" s="33" t="n"/>
      <c r="C23" s="50">
        <f>04_SOFP!D22-04_SOFP!C22</f>
        <v/>
      </c>
      <c r="D23" s="64" t="n"/>
    </row>
    <row r="24" ht="18" customHeight="1">
      <c r="A24" s="49" t="inlineStr">
        <is>
          <t>(Increase) / decrease in advances, deposits and prepayments</t>
        </is>
      </c>
      <c r="B24" s="33" t="n"/>
      <c r="C24" s="50">
        <f>04_SOFP!D23-04_SOFP!C23</f>
        <v/>
      </c>
      <c r="D24" s="64" t="n"/>
    </row>
    <row r="25" ht="18" customHeight="1">
      <c r="A25" s="49" t="inlineStr">
        <is>
          <t>Increase / (decrease) in trade and other payables</t>
        </is>
      </c>
      <c r="B25" s="33" t="n"/>
      <c r="C25" s="50">
        <f>04_SOFP!C46-04_SOFP!D46</f>
        <v/>
      </c>
      <c r="D25" s="64" t="n"/>
    </row>
    <row r="26" ht="18" customHeight="1">
      <c r="A26" s="49" t="inlineStr">
        <is>
          <t>Increase / (decrease) in liabilities for expenses</t>
        </is>
      </c>
      <c r="B26" s="33" t="n"/>
      <c r="C26" s="50">
        <f>04_SOFP!C50-04_SOFP!D50</f>
        <v/>
      </c>
      <c r="D26" s="64" t="n"/>
    </row>
    <row r="27" ht="18" customHeight="1">
      <c r="A27" s="52" t="inlineStr">
        <is>
          <t>Cash generated from operations</t>
        </is>
      </c>
      <c r="B27" s="53" t="n"/>
      <c r="C27" s="54">
        <f>C20+C22+C23+C24+C25+C26</f>
        <v/>
      </c>
      <c r="D27" s="54">
        <f>D20+D22+D23+D24+D25+D26</f>
        <v/>
      </c>
    </row>
    <row r="28" ht="18" customHeight="1">
      <c r="A28" s="49" t="inlineStr">
        <is>
          <t>Income tax paid (INK — typically AIT + payments)</t>
        </is>
      </c>
      <c r="B28" s="33" t="n"/>
      <c r="C28" s="63" t="n"/>
      <c r="D28" s="64" t="n"/>
    </row>
    <row r="29" ht="18" customHeight="1">
      <c r="A29" s="49" t="inlineStr">
        <is>
          <t>Interest paid (INK)</t>
        </is>
      </c>
      <c r="B29" s="33" t="n"/>
      <c r="C29" s="63" t="n"/>
      <c r="D29" s="64" t="n"/>
    </row>
    <row r="30" ht="18" customHeight="1">
      <c r="A30" s="49" t="inlineStr">
        <is>
          <t>WPPF paid (auto from Annexure D)</t>
        </is>
      </c>
      <c r="B30" s="33" t="n"/>
      <c r="C30" s="50">
        <f>-'15_Tax_WPPF'!C46</f>
        <v/>
      </c>
      <c r="D30" s="50">
        <f>-'15_Tax_WPPF'!D46</f>
        <v/>
      </c>
    </row>
    <row r="31" ht="18" customHeight="1">
      <c r="A31" s="44" t="inlineStr">
        <is>
          <t>Net cash from / (used in) operating activities</t>
        </is>
      </c>
      <c r="B31" s="6" t="n"/>
      <c r="C31" s="55">
        <f>C27-C28-C29+C30</f>
        <v/>
      </c>
      <c r="D31" s="55">
        <f>D27-D28-D29+D30</f>
        <v/>
      </c>
    </row>
    <row r="32" ht="8" customHeight="1">
      <c r="A32" s="56" t="n"/>
      <c r="B32" s="57" t="n"/>
    </row>
    <row r="33" ht="22" customHeight="1">
      <c r="A33" s="44" t="inlineStr">
        <is>
          <t>B. Cash flows from investing activities</t>
        </is>
      </c>
      <c r="B33" s="45" t="n"/>
      <c r="C33" s="46" t="n"/>
      <c r="D33" s="46" t="n"/>
    </row>
    <row r="34" ht="18" customHeight="1">
      <c r="A34" s="49" t="inlineStr">
        <is>
          <t>Acquisition of PPE (INK — additions excluding CWIP transfer)</t>
        </is>
      </c>
      <c r="B34" s="33" t="n"/>
      <c r="C34" s="50">
        <f>-'12_PPE_Schedule'!J13</f>
        <v/>
      </c>
      <c r="D34" s="64" t="n"/>
    </row>
    <row r="35" ht="18" customHeight="1">
      <c r="A35" s="49" t="inlineStr">
        <is>
          <t>Capital work-in-progress addition (auto)</t>
        </is>
      </c>
      <c r="B35" s="33" t="n"/>
      <c r="C35" s="50">
        <f>-'09_Notes_SOFP'!C14</f>
        <v/>
      </c>
      <c r="D35" s="50">
        <f>-'09_Notes_SOFP'!D14</f>
        <v/>
      </c>
    </row>
    <row r="36" ht="18" customHeight="1">
      <c r="A36" s="49" t="inlineStr">
        <is>
          <t>Acquisition of intangibles (auto)</t>
        </is>
      </c>
      <c r="B36" s="33" t="n"/>
      <c r="C36" s="50">
        <f>-'09_Notes_SOFP'!C19</f>
        <v/>
      </c>
      <c r="D36" s="50">
        <f>-'09_Notes_SOFP'!D19</f>
        <v/>
      </c>
    </row>
    <row r="37" ht="18" customHeight="1">
      <c r="A37" s="49" t="inlineStr">
        <is>
          <t>Proceeds from sale of PPE (auto)</t>
        </is>
      </c>
      <c r="B37" s="33" t="n"/>
      <c r="C37" s="50">
        <f>'12_PPE_Schedule'!C48</f>
        <v/>
      </c>
      <c r="D37" s="64" t="n"/>
    </row>
    <row r="38" ht="18" customHeight="1">
      <c r="A38" s="49" t="inlineStr">
        <is>
          <t>Interest received (INK)</t>
        </is>
      </c>
      <c r="B38" s="33" t="n"/>
      <c r="C38" s="63" t="n"/>
      <c r="D38" s="64" t="n"/>
    </row>
    <row r="39" ht="18" customHeight="1">
      <c r="A39" s="49" t="inlineStr">
        <is>
          <t>(Increase) / decrease in FDR / investments (INK)</t>
        </is>
      </c>
      <c r="B39" s="33" t="n"/>
      <c r="C39" s="63" t="n"/>
      <c r="D39" s="64" t="n"/>
    </row>
    <row r="40" ht="18" customHeight="1">
      <c r="A40" s="44" t="inlineStr">
        <is>
          <t>Net cash from / (used in) investing activities</t>
        </is>
      </c>
      <c r="B40" s="6" t="n"/>
      <c r="C40" s="55">
        <f>C34+C35+C36+C37+C38+C39</f>
        <v/>
      </c>
      <c r="D40" s="55">
        <f>D34+D35+D36+D37+D38+D39</f>
        <v/>
      </c>
    </row>
    <row r="41" ht="8" customHeight="1">
      <c r="A41" s="56" t="n"/>
      <c r="B41" s="57" t="n"/>
    </row>
    <row r="42" ht="22" customHeight="1">
      <c r="A42" s="44" t="inlineStr">
        <is>
          <t>C. Cash flows from financing activities</t>
        </is>
      </c>
      <c r="B42" s="45" t="n"/>
      <c r="C42" s="46" t="n"/>
      <c r="D42" s="46" t="n"/>
    </row>
    <row r="43" ht="18" customHeight="1">
      <c r="A43" s="49" t="inlineStr">
        <is>
          <t>Proceeds from / (repayment of) long-term borrowings (INK)</t>
        </is>
      </c>
      <c r="B43" s="33" t="n"/>
      <c r="C43" s="63" t="n"/>
      <c r="D43" s="64" t="n"/>
    </row>
    <row r="44" ht="18" customHeight="1">
      <c r="A44" s="49" t="inlineStr">
        <is>
          <t>Proceeds from / (repayment of) short-term borrowings (auto SOFP movement)</t>
        </is>
      </c>
      <c r="B44" s="33" t="n"/>
      <c r="C44" s="50">
        <f>04_SOFP!C47-04_SOFP!D47</f>
        <v/>
      </c>
      <c r="D44" s="64" t="n"/>
    </row>
    <row r="45" ht="18" customHeight="1">
      <c r="A45" s="49" t="inlineStr">
        <is>
          <t>Payment of lease liabilities (INK)</t>
        </is>
      </c>
      <c r="B45" s="33" t="n"/>
      <c r="C45" s="63" t="n"/>
      <c r="D45" s="64" t="n"/>
    </row>
    <row r="46" ht="18" customHeight="1">
      <c r="A46" s="49" t="inlineStr">
        <is>
          <t>Proceeds from issue of share capital (auto SOCIE)</t>
        </is>
      </c>
      <c r="B46" s="33" t="n"/>
      <c r="C46" s="50">
        <f>06_SOCIE!B19+06_SOCIE!C19</f>
        <v/>
      </c>
      <c r="D46" s="64" t="n"/>
    </row>
    <row r="47" ht="18" customHeight="1">
      <c r="A47" s="49" t="inlineStr">
        <is>
          <t>Dividend paid (enter as positive payment)</t>
        </is>
      </c>
      <c r="B47" s="33" t="n"/>
      <c r="C47" s="63" t="n"/>
      <c r="D47" s="64" t="n"/>
    </row>
    <row r="48" ht="18" customHeight="1">
      <c r="A48" s="44" t="inlineStr">
        <is>
          <t>Net cash from / (used in) financing activities</t>
        </is>
      </c>
      <c r="B48" s="6" t="n"/>
      <c r="C48" s="55">
        <f>C43+C44-C45+C46-C47</f>
        <v/>
      </c>
      <c r="D48" s="55">
        <f>D43+D44-D45+D46-D47</f>
        <v/>
      </c>
    </row>
    <row r="49" ht="8" customHeight="1">
      <c r="A49" s="56" t="n"/>
      <c r="B49" s="57" t="n"/>
    </row>
    <row r="50" ht="18" customHeight="1">
      <c r="A50" s="52" t="inlineStr">
        <is>
          <t>Net increase / (decrease) in cash and cash equivalents</t>
        </is>
      </c>
      <c r="B50" s="53" t="n"/>
      <c r="C50" s="54">
        <f>C31+C40+C48</f>
        <v/>
      </c>
      <c r="D50" s="54">
        <f>D31+D40+D48</f>
        <v/>
      </c>
    </row>
    <row r="51" ht="18" customHeight="1">
      <c r="A51" s="49" t="inlineStr">
        <is>
          <t>Cash and cash equivalents at beginning of the year</t>
        </is>
      </c>
      <c r="B51" s="33" t="n"/>
      <c r="C51" s="50">
        <f>04_SOFP!D26</f>
        <v/>
      </c>
      <c r="D51" s="64" t="n"/>
    </row>
    <row r="52" ht="18" customHeight="1">
      <c r="A52" s="44" t="inlineStr">
        <is>
          <t>Cash and cash equivalents at end of the year</t>
        </is>
      </c>
      <c r="B52" s="6" t="n"/>
      <c r="C52" s="55">
        <f>C51+C50</f>
        <v/>
      </c>
      <c r="D52" s="55">
        <f>D51+D50</f>
        <v/>
      </c>
    </row>
    <row r="53" ht="18" customHeight="1">
      <c r="A53" s="49" t="inlineStr">
        <is>
          <t>Cash per SOFP (Note 13)</t>
        </is>
      </c>
      <c r="B53" s="33" t="n"/>
      <c r="C53" s="50">
        <f>04_SOFP!C26</f>
        <v/>
      </c>
      <c r="D53" s="50">
        <f>04_SOFP!D26</f>
        <v/>
      </c>
    </row>
    <row r="54" ht="18" customHeight="1">
      <c r="A54" s="44" t="inlineStr">
        <is>
          <t>Difference (MUST BE NIL)</t>
        </is>
      </c>
      <c r="B54" s="6" t="n"/>
      <c r="C54" s="71">
        <f>C52-C53</f>
        <v/>
      </c>
      <c r="D54" s="71">
        <f>D52-D53</f>
        <v/>
      </c>
    </row>
    <row r="57">
      <c r="A57" s="59" t="inlineStr">
        <is>
          <t>The annexed notes 1 to 39 form an integral part of these financial statements.</t>
        </is>
      </c>
    </row>
    <row r="59">
      <c r="A59" s="31" t="inlineStr">
        <is>
          <t>____________________________</t>
        </is>
      </c>
      <c r="C59" s="31" t="inlineStr">
        <is>
          <t>____________________________</t>
        </is>
      </c>
    </row>
    <row r="60">
      <c r="A60" s="60" t="inlineStr">
        <is>
          <t>Director</t>
        </is>
      </c>
      <c r="C60" s="60" t="inlineStr">
        <is>
          <t>Director</t>
        </is>
      </c>
    </row>
    <row r="61">
      <c r="A61" s="61" t="inlineStr">
        <is>
          <t>Modern Pharmaceuticals Limited</t>
        </is>
      </c>
    </row>
    <row r="63">
      <c r="A63" s="59" t="inlineStr">
        <is>
          <t>Signed in terms of our separate report of even date.</t>
        </is>
      </c>
    </row>
    <row r="65">
      <c r="A65" s="11" t="inlineStr">
        <is>
          <t>Dhaka</t>
        </is>
      </c>
      <c r="C65" s="60" t="inlineStr">
        <is>
          <t>Rahman Anis &amp; Co.</t>
        </is>
      </c>
    </row>
    <row r="66">
      <c r="A66" s="11" t="inlineStr">
        <is>
          <t>Dated: ________________</t>
        </is>
      </c>
      <c r="C66" s="31" t="inlineStr">
        <is>
          <t>Chartered Accountants</t>
        </is>
      </c>
    </row>
    <row r="67">
      <c r="C67" s="61" t="inlineStr">
        <is>
          <t>DVC: ________________________</t>
        </is>
      </c>
    </row>
  </sheetData>
  <mergeCells count="18">
    <mergeCell ref="A1:D1"/>
    <mergeCell ref="A5:D5"/>
    <mergeCell ref="A8:D8"/>
    <mergeCell ref="A61:D61"/>
    <mergeCell ref="A6:D6"/>
    <mergeCell ref="A59:B59"/>
    <mergeCell ref="A60:B60"/>
    <mergeCell ref="C60:D60"/>
    <mergeCell ref="A4:D4"/>
    <mergeCell ref="A65:B65"/>
    <mergeCell ref="C65:D65"/>
    <mergeCell ref="C67:D67"/>
    <mergeCell ref="C66:D66"/>
    <mergeCell ref="A66:B66"/>
    <mergeCell ref="A57:D57"/>
    <mergeCell ref="A2:D2"/>
    <mergeCell ref="A63:D63"/>
    <mergeCell ref="C59:D59"/>
  </mergeCells>
  <pageMargins left="0.5" right="0.5" top="0.7" bottom="0.7" header="0.3" footer="0.3"/>
  <pageSetup orientation="portrait" paperSize="9" fitToHeight="0" fitToWidth="1"/>
  <headerFooter>
    <oddHeader>&amp;LRahman Anis &amp; Co._x000a_Chartered Accountants&amp;RModern Pharmaceuticals Limited_x000a_Year ended 30 June 2026</oddHeader>
    <oddFooter>&amp;LConfidential — Statutory audit working / FS pack&amp;CPage &amp;P of &amp;N&amp;RSOCF</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tabColor rgb="001B365D"/>
    <outlinePr summaryBelow="1" summaryRight="1"/>
    <pageSetUpPr fitToPage="1"/>
  </sheetPr>
  <dimension ref="A1:B70"/>
  <sheetViews>
    <sheetView showGridLines="0" zoomScale="100" workbookViewId="0">
      <selection activeCell="A1" sqref="A1"/>
    </sheetView>
  </sheetViews>
  <sheetFormatPr baseColWidth="8" defaultRowHeight="15"/>
  <cols>
    <col width="4" customWidth="1" min="1" max="1"/>
    <col width="108" customWidth="1" min="2" max="2"/>
    <col width="4" customWidth="1" min="3" max="3"/>
  </cols>
  <sheetData>
    <row r="1" ht="22" customHeight="1">
      <c r="A1" s="1" t="inlineStr">
        <is>
          <t>RAHMAN ANIS &amp; CO.</t>
        </is>
      </c>
    </row>
    <row r="2" ht="16" customHeight="1">
      <c r="A2" s="3" t="inlineStr">
        <is>
          <t>Chartered Accountants</t>
        </is>
      </c>
    </row>
    <row r="3" ht="8" customHeight="1"/>
    <row r="4" ht="20" customHeight="1">
      <c r="A4" s="30" t="inlineStr">
        <is>
          <t>Modern Pharmaceuticals Limited</t>
        </is>
      </c>
    </row>
    <row r="5" ht="18" customHeight="1">
      <c r="A5" s="2" t="inlineStr">
        <is>
          <t>Notes to the financial statements</t>
        </is>
      </c>
    </row>
    <row r="6" ht="16" customHeight="1">
      <c r="A6" s="31" t="inlineStr">
        <is>
          <t>For the year ended 30 June 2026</t>
        </is>
      </c>
    </row>
    <row r="7" ht="6" customHeight="1">
      <c r="A7" s="32" t="n"/>
      <c r="B7" s="32" t="n"/>
    </row>
    <row r="9" ht="20" customHeight="1">
      <c r="B9" s="37" t="inlineStr">
        <is>
          <t>1.00  Reporting entity</t>
        </is>
      </c>
    </row>
    <row r="10" ht="70" customHeight="1">
      <c r="B10" s="72" t="inlineStr">
        <is>
          <t>Modern Pharmaceuticals Limited (the "Company") is a private limited company incorporated in Bangladesh under the Companies Act 1994 (as amended). The registered office of the Company is at 51/51-A (3rd Floor), Purana Paltan, Dhaka-1000, Bangladesh [confirm from RJSC Form X / Memorandum]. The principal activities of the Company comprise manufacturing, marketing and sale of pharmaceutical finished products and/or related trading of pharmaceutical raw and packing materials in Bangladesh [confirm actual licence: DGDA manufacturing licence / depot]. These financial statements relate to the Company as a separate legal entity (no subsidiaries identified at the date of this draft).</t>
        </is>
      </c>
    </row>
    <row r="11" ht="20" customHeight="1">
      <c r="B11" s="37" t="inlineStr">
        <is>
          <t>1.01  Nature of business</t>
        </is>
      </c>
    </row>
    <row r="12" ht="52" customHeight="1">
      <c r="B12" s="72" t="inlineStr">
        <is>
          <t>The Company is engaged in the pharmaceutical sector. Revenue arises primarily from sale of goods. DGDA, VAT and drug-pricing regulations apply. Confirm product mix (human / veterinary / API trading) before finalising this note.</t>
        </is>
      </c>
    </row>
    <row r="13" ht="20" customHeight="1">
      <c r="B13" s="37" t="inlineStr">
        <is>
          <t>2.00  Basis of preparation</t>
        </is>
      </c>
    </row>
    <row r="14" ht="20" customHeight="1">
      <c r="B14" s="37" t="inlineStr">
        <is>
          <t>2.01  Statement of compliance</t>
        </is>
      </c>
    </row>
    <row r="15" ht="70" customHeight="1">
      <c r="B15" s="72" t="inlineStr">
        <is>
          <t>The financial statements have been prepared in accordance with International Financial Reporting Standards (IFRSs) as adopted in Bangladesh, the Companies Act 1994 (as amended to date), the Income Tax Act 2023, the Value Added Tax and Supplementary Duty Act 2012 and other applicable laws and regulations. The financial reporting framework is also informed by the Financial Reporting Act 2015 and directives of the Financial Reporting Council (FRC), Bangladesh, where applicable.</t>
        </is>
      </c>
    </row>
    <row r="16" ht="20" customHeight="1">
      <c r="B16" s="37" t="inlineStr">
        <is>
          <t>2.02  Other regulatory compliance</t>
        </is>
      </c>
    </row>
    <row r="17" ht="52" customHeight="1">
      <c r="B17" s="72" t="inlineStr">
        <is>
          <t>The Company is also required to comply with: (i) The Bangladesh Labour Act 2006 (as amended) including Workers' Profit Participation Fund; (ii) DGDA rules and conditions of drug manufacturing / sales licences; (iii) The Securities and Exchange Rules only if listed (not assumed). Confirm listing status — this pack is drafted for an unlisted private limited company.</t>
        </is>
      </c>
    </row>
    <row r="18" ht="20" customHeight="1">
      <c r="B18" s="37" t="inlineStr">
        <is>
          <t>2.03  Basis of measurement</t>
        </is>
      </c>
    </row>
    <row r="19" ht="52" customHeight="1">
      <c r="B19" s="72" t="inlineStr">
        <is>
          <t>The financial statements have been prepared on the historical cost basis except for certain items of property, plant and equipment that may be carried at revalued amount if a revaluation model is adopted, and except for financial instruments measured at fair value where applicable. The financial statements are prepared on an accrual basis.</t>
        </is>
      </c>
    </row>
    <row r="20" ht="20" customHeight="1">
      <c r="B20" s="37" t="inlineStr">
        <is>
          <t>2.04  Functional and presentation currency</t>
        </is>
      </c>
    </row>
    <row r="21" ht="36" customHeight="1">
      <c r="B21" s="72" t="inlineStr">
        <is>
          <t>The financial statements are presented in Bangladeshi Taka (Taka / Tk. / BDT), which is the Company's functional currency. All amounts have been rounded to the nearest Taka unless otherwise indicated.</t>
        </is>
      </c>
    </row>
    <row r="22" ht="20" customHeight="1">
      <c r="B22" s="37" t="inlineStr">
        <is>
          <t>2.05  Use of estimates and judgements</t>
        </is>
      </c>
    </row>
    <row r="23" ht="70" customHeight="1">
      <c r="B23" s="72" t="inlineStr">
        <is>
          <t>The preparation of financial statements in conformity with IFRSs requires management to make judgements, estimates and assumptions that affect the application of accounting policies and the reported amounts of assets, liabilities, income and expenses. Actual results may differ from these estimates. Estimates and underlying assumptions are reviewed on an ongoing basis. Key estimates include: useful lives and residual values of PPE; provision for slow-moving inventories; expected credit loss on receivables; deferred tax; gratuity; and going-concern assessment.</t>
        </is>
      </c>
    </row>
    <row r="24" ht="20" customHeight="1">
      <c r="B24" s="37" t="inlineStr">
        <is>
          <t>2.06  Going concern</t>
        </is>
      </c>
    </row>
    <row r="25" ht="52" customHeight="1">
      <c r="B25" s="72" t="inlineStr">
        <is>
          <t>The financial statements have been prepared on a going concern basis. Management has assessed the Company's ability to continue as a going concern for at least twelve months from the date of authorisation of these financial statements and is not aware of material uncertainties that may cast significant doubt. [Engagement team: document assessment.]</t>
        </is>
      </c>
    </row>
    <row r="26" ht="20" customHeight="1">
      <c r="B26" s="37" t="inlineStr">
        <is>
          <t>2.07  Comparative information</t>
        </is>
      </c>
    </row>
    <row r="27" ht="52" customHeight="1">
      <c r="B27" s="72" t="inlineStr">
        <is>
          <t>Comparative figures are presented for the year ended 30 June 2025, being the last year audited balances. Where necessary, comparatives have been rearranged to conform with current year presentation. [Insert prior auditor name if Rahman Anis &amp; Co. is first-year statutory auditor — ISA 710 / opening balances ISA 510.]</t>
        </is>
      </c>
    </row>
    <row r="28" ht="20" customHeight="1">
      <c r="B28" s="37" t="inlineStr">
        <is>
          <t>2.08  Date of authorisation</t>
        </is>
      </c>
    </row>
    <row r="29" ht="36" customHeight="1">
      <c r="B29" s="72" t="inlineStr">
        <is>
          <t>These financial statements were authorised for issue by the Board of Directors on ________________ (Note 39).</t>
        </is>
      </c>
    </row>
    <row r="30" ht="20" customHeight="1">
      <c r="B30" s="37" t="inlineStr">
        <is>
          <t>3.00  Significant accounting policies</t>
        </is>
      </c>
    </row>
    <row r="31" ht="20" customHeight="1">
      <c r="B31" s="37" t="inlineStr">
        <is>
          <t>3.01  Property, plant and equipment (IAS 16)</t>
        </is>
      </c>
    </row>
    <row r="32" ht="70" customHeight="1">
      <c r="B32" s="72" t="inlineStr">
        <is>
          <t>Items of property, plant and equipment are stated at cost less accumulated depreciation and accumulated impairment losses, except land which is stated at cost (or revalued amount, if applicable). Cost includes expenditure that is directly attributable to the acquisition of the asset and the costs of dismantling and restoring the site where relevant. Subsequent costs are included in the asset's carrying amount only when it is probable that future economic benefits will flow to the Company. Depreciation is charged from the date when the asset is available for use, using the [straight-line / reducing-balance] method over estimated useful lives. No depreciation is charged on land and on capital work-in-progress. Gain or loss on disposal is recognised in profit or loss.</t>
        </is>
      </c>
    </row>
    <row r="33" ht="20" customHeight="1">
      <c r="B33" s="37" t="inlineStr">
        <is>
          <t>3.02  Capital work-in-progress</t>
        </is>
      </c>
    </row>
    <row r="34" ht="36" customHeight="1">
      <c r="B34" s="72" t="inlineStr">
        <is>
          <t>Capital work-in-progress represents the cost of construction / capital items not yet available for use. These are transferred to PPE when the assets are ready for intended use.</t>
        </is>
      </c>
    </row>
    <row r="35" ht="20" customHeight="1">
      <c r="B35" s="37" t="inlineStr">
        <is>
          <t>3.03  Intangible assets (IAS 38)</t>
        </is>
      </c>
    </row>
    <row r="36" ht="52" customHeight="1">
      <c r="B36" s="72" t="inlineStr">
        <is>
          <t>Intangible assets acquired separately are measured on initial recognition at cost and subsequently carried at cost less accumulated amortisation and impairment. Software and product licences are amortised on a straight-line basis over their estimated useful lives.</t>
        </is>
      </c>
    </row>
    <row r="37" ht="20" customHeight="1">
      <c r="B37" s="37" t="inlineStr">
        <is>
          <t>3.04  Leases (IFRS 16)</t>
        </is>
      </c>
    </row>
    <row r="38" ht="70" customHeight="1">
      <c r="B38" s="72" t="inlineStr">
        <is>
          <t>At inception of a contract, the Company assesses whether a contract is, or contains, a lease. The Company recognises a right-of-use asset and a lease liability at the lease commencement date, except for short-term leases and leases of low-value assets which are recognised as an expense on a straight-line basis. The ROU asset is depreciated over the shorter of the useful life and the lease term. Lease liabilities are measured at the present value of lease payments discounted using the interest rate implicit in the lease or the Company's incremental borrowing rate.</t>
        </is>
      </c>
    </row>
    <row r="39" ht="20" customHeight="1">
      <c r="B39" s="37" t="inlineStr">
        <is>
          <t>3.05  Inventories (IAS 2)</t>
        </is>
      </c>
    </row>
    <row r="40" ht="70" customHeight="1">
      <c r="B40" s="72" t="inlineStr">
        <is>
          <t>Inventories are valued at the lower of cost and net realisable value. Cost of raw and packing materials is determined using the weighted average method. Cost of finished goods and work-in-process includes direct materials, direct labour and a systematic allocation of manufacturing overheads. Net realisable value is the estimated selling price in the ordinary course of business less estimated costs of completion and selling expenses. Provision is made for slow-moving, expired and obsolete stocks in accordance with DGDA shelf-life requirements.</t>
        </is>
      </c>
    </row>
    <row r="41" ht="20" customHeight="1">
      <c r="B41" s="37" t="inlineStr">
        <is>
          <t>3.06  Financial instruments (IFRS 9)</t>
        </is>
      </c>
    </row>
    <row r="42" ht="70" customHeight="1">
      <c r="B42" s="72" t="inlineStr">
        <is>
          <t>Trade receivables are recognised when the Company has an unconditional right to receive consideration. The Company applies the simplified approach to measure expected credit losses. Cash and cash equivalents comprise cash in hand and cash at bank with original maturities of three months or less. Financial liabilities are recognised initially at fair value net of transaction costs and subsequently at amortised cost using the effective interest method.</t>
        </is>
      </c>
    </row>
    <row r="43" ht="20" customHeight="1">
      <c r="B43" s="37" t="inlineStr">
        <is>
          <t>3.07  Impairment (IAS 36)</t>
        </is>
      </c>
    </row>
    <row r="44" ht="52" customHeight="1">
      <c r="B44" s="72" t="inlineStr">
        <is>
          <t>The carrying amounts of the Company's non-financial assets are reviewed at each reporting date to determine whether there is any indication of impairment. An impairment loss is recognised if the carrying amount of an asset exceeds its recoverable amount.</t>
        </is>
      </c>
    </row>
    <row r="45" ht="20" customHeight="1">
      <c r="B45" s="37" t="inlineStr">
        <is>
          <t>3.08  Share capital</t>
        </is>
      </c>
    </row>
    <row r="46" ht="36" customHeight="1">
      <c r="B46" s="72" t="inlineStr">
        <is>
          <t>Ordinary shares are classified as equity. Incremental costs directly attributable to the issue of ordinary shares are recognised as a deduction from equity, net of any tax effects.</t>
        </is>
      </c>
    </row>
    <row r="47" ht="20" customHeight="1">
      <c r="B47" s="37" t="inlineStr">
        <is>
          <t>3.09  Employee benefits (IAS 19)</t>
        </is>
      </c>
    </row>
    <row r="48" ht="52" customHeight="1">
      <c r="B48" s="72" t="inlineStr">
        <is>
          <t>Short-term employee benefits are expensed as the related service is provided. The Company operates [a recognised provident fund / gratuity — confirm]. Obligations for contributions to defined contribution plans are recognised as an expense. Defined benefit gratuity, if unfunded, is provided in accordance with the Bangladesh Labour Act 2006.</t>
        </is>
      </c>
    </row>
    <row r="49" ht="20" customHeight="1">
      <c r="B49" s="37" t="inlineStr">
        <is>
          <t>3.10  Workers' Profit Participation Fund</t>
        </is>
      </c>
    </row>
    <row r="50" ht="52" customHeight="1">
      <c r="B50" s="72" t="inlineStr">
        <is>
          <t>As per the Bangladesh Labour Act 2006 (as amended), the Company provides 5% of its net profit before tax and WPPF (computed as profit before WPPF and tax × 5/105) to the Workers' Profit Participation and Welfare Fund, subject to applicability (number of workers / industrial establishment). Confirm applicability for the Company.</t>
        </is>
      </c>
    </row>
    <row r="51" ht="20" customHeight="1">
      <c r="B51" s="37" t="inlineStr">
        <is>
          <t>3.11  Provisions (IAS 37)</t>
        </is>
      </c>
    </row>
    <row r="52" ht="52" customHeight="1">
      <c r="B52" s="72" t="inlineStr">
        <is>
          <t>A provision is recognised if, as a result of a past event, the Company has a present legal or constructive obligation that can be estimated reliably, and it is probable that an outflow of economic benefits will be required to settle the obligation.</t>
        </is>
      </c>
    </row>
    <row r="53" ht="20" customHeight="1">
      <c r="B53" s="37" t="inlineStr">
        <is>
          <t>3.12  Revenue (IFRS 15)</t>
        </is>
      </c>
    </row>
    <row r="54" ht="70" customHeight="1">
      <c r="B54" s="72" t="inlineStr">
        <is>
          <t>Revenue is measured based on the consideration specified in a contract with a customer and excludes amounts collected on behalf of third parties (VAT / SD). The Company recognises revenue when it transfers control of a product to a customer, typically upon delivery / invoicing at depot or factory gate as per terms. Revenue is presented net of returns, rebates, trade discounts and VAT. Export revenue, if any, is recognised when control transfers in accordance with Incoterms.</t>
        </is>
      </c>
    </row>
    <row r="55" ht="20" customHeight="1">
      <c r="B55" s="37" t="inlineStr">
        <is>
          <t>3.13  Finance income and costs</t>
        </is>
      </c>
    </row>
    <row r="56" ht="52" customHeight="1">
      <c r="B56" s="72" t="inlineStr">
        <is>
          <t>Finance income comprises interest income on funds invested. Finance costs comprise interest on borrowings, bank charges of a financing nature and interest on lease liabilities. Borrowing costs that are directly attributable to the acquisition or construction of a qualifying asset are capitalised in accordance with IAS 23.</t>
        </is>
      </c>
    </row>
    <row r="57" ht="20" customHeight="1">
      <c r="B57" s="37" t="inlineStr">
        <is>
          <t>3.14  Income tax (IAS 12)</t>
        </is>
      </c>
    </row>
    <row r="58" ht="70" customHeight="1">
      <c r="B58" s="72" t="inlineStr">
        <is>
          <t>Income tax expense comprises current and deferred tax. Current tax is the expected tax payable on the taxable income for the year, using tax rates enacted or substantively enacted at the reporting date under the Income Tax Act 2023, and any adjustment to tax payable in respect of previous years. Deferred tax is recognised in respect of temporary differences between the carrying amounts of assets and liabilities for financial reporting purposes and the amounts used for taxation purposes, using the liability method.</t>
        </is>
      </c>
    </row>
    <row r="59" ht="20" customHeight="1">
      <c r="B59" s="37" t="inlineStr">
        <is>
          <t>3.15  Foreign currency (IAS 21)</t>
        </is>
      </c>
    </row>
    <row r="60" ht="52" customHeight="1">
      <c r="B60" s="72" t="inlineStr">
        <is>
          <t>Transactions in foreign currencies are translated into Taka at the exchange rates ruling at the dates of the transactions. Monetary assets and liabilities denominated in foreign currencies at the reporting date are retranslated at the closing rate. Foreign exchange differences are recognised in profit or loss.</t>
        </is>
      </c>
    </row>
    <row r="61" ht="20" customHeight="1">
      <c r="B61" s="37" t="inlineStr">
        <is>
          <t>3.16  Statement of cash flows (IAS 7)</t>
        </is>
      </c>
    </row>
    <row r="62" ht="36" customHeight="1">
      <c r="B62" s="72" t="inlineStr">
        <is>
          <t>The statement of cash flows has been prepared using the indirect method. Cash and cash equivalents include cash in hand and balances with banks.</t>
        </is>
      </c>
    </row>
    <row r="63" ht="20" customHeight="1">
      <c r="B63" s="37" t="inlineStr">
        <is>
          <t>3.17  Earnings per share (IAS 33)</t>
        </is>
      </c>
    </row>
    <row r="64" ht="36" customHeight="1">
      <c r="B64" s="72" t="inlineStr">
        <is>
          <t>Basic EPS is calculated by dividing the profit or loss attributable to ordinary shareholders by the weighted average number of ordinary shares outstanding during the year.</t>
        </is>
      </c>
    </row>
    <row r="65" ht="20" customHeight="1">
      <c r="B65" s="37" t="inlineStr">
        <is>
          <t>3.18  Related party disclosures (IAS 24)</t>
        </is>
      </c>
    </row>
    <row r="66" ht="52" customHeight="1">
      <c r="B66" s="72" t="inlineStr">
        <is>
          <t>The Company identifies related parties in accordance with IAS 24 and discloses transactions and outstanding balances including commitments. Directors, key management personnel and entities under common control are related parties.</t>
        </is>
      </c>
    </row>
    <row r="67" ht="20" customHeight="1">
      <c r="B67" s="37" t="inlineStr">
        <is>
          <t>3.19  Events after the reporting period (IAS 10)</t>
        </is>
      </c>
    </row>
    <row r="68" ht="36" customHeight="1">
      <c r="B68" s="72" t="inlineStr">
        <is>
          <t>Adjusting events are reflected in the financial statements. Non-adjusting events are disclosed if material.</t>
        </is>
      </c>
    </row>
    <row r="69" ht="20" customHeight="1">
      <c r="B69" s="37" t="inlineStr">
        <is>
          <t>3.20  First-year audit / opening balances (if applicable)</t>
        </is>
      </c>
    </row>
    <row r="70" ht="52" customHeight="1">
      <c r="B70" s="72" t="inlineStr">
        <is>
          <t>If this is the first year of appointment of Rahman Anis &amp; Co. as statutory auditor, opening balances have been considered in accordance with ISA 510. Comparative figures are those reported by the predecessor auditor [name of last year auditor — insert] for the year ended 30 June 2025.</t>
        </is>
      </c>
    </row>
  </sheetData>
  <mergeCells count="67">
    <mergeCell ref="B49"/>
    <mergeCell ref="B65"/>
    <mergeCell ref="B40"/>
    <mergeCell ref="B9"/>
    <mergeCell ref="B30"/>
    <mergeCell ref="B68"/>
    <mergeCell ref="B64"/>
    <mergeCell ref="B15"/>
    <mergeCell ref="B33"/>
    <mergeCell ref="B55"/>
    <mergeCell ref="B24"/>
    <mergeCell ref="B51"/>
    <mergeCell ref="B20"/>
    <mergeCell ref="A1:B1"/>
    <mergeCell ref="B36"/>
    <mergeCell ref="A6:B6"/>
    <mergeCell ref="B45"/>
    <mergeCell ref="B63"/>
    <mergeCell ref="B41"/>
    <mergeCell ref="B32"/>
    <mergeCell ref="B35"/>
    <mergeCell ref="B50"/>
    <mergeCell ref="B26"/>
    <mergeCell ref="B62"/>
    <mergeCell ref="B25"/>
    <mergeCell ref="B47"/>
    <mergeCell ref="B16"/>
    <mergeCell ref="B54"/>
    <mergeCell ref="B46"/>
    <mergeCell ref="B59"/>
    <mergeCell ref="B22"/>
    <mergeCell ref="B66"/>
    <mergeCell ref="B31"/>
    <mergeCell ref="B27"/>
    <mergeCell ref="A2:B2"/>
    <mergeCell ref="B43"/>
    <mergeCell ref="B12"/>
    <mergeCell ref="B18"/>
    <mergeCell ref="B56"/>
    <mergeCell ref="B52"/>
    <mergeCell ref="B21"/>
    <mergeCell ref="B48"/>
    <mergeCell ref="B58"/>
    <mergeCell ref="B70"/>
    <mergeCell ref="B39"/>
    <mergeCell ref="A5:B5"/>
    <mergeCell ref="B11"/>
    <mergeCell ref="B42"/>
    <mergeCell ref="B14"/>
    <mergeCell ref="B60"/>
    <mergeCell ref="B67"/>
    <mergeCell ref="B23"/>
    <mergeCell ref="B61"/>
    <mergeCell ref="A4:B4"/>
    <mergeCell ref="B57"/>
    <mergeCell ref="B17"/>
    <mergeCell ref="B13"/>
    <mergeCell ref="B44"/>
    <mergeCell ref="B53"/>
    <mergeCell ref="B29"/>
    <mergeCell ref="B69"/>
    <mergeCell ref="B38"/>
    <mergeCell ref="B34"/>
    <mergeCell ref="B10"/>
    <mergeCell ref="B28"/>
    <mergeCell ref="B19"/>
    <mergeCell ref="B37"/>
  </mergeCells>
  <pageMargins left="0.5" right="0.5" top="0.7" bottom="0.7" header="0.3" footer="0.3"/>
  <pageSetup orientation="portrait" paperSize="9" fitToHeight="0" fitToWidth="1"/>
  <headerFooter>
    <oddHeader>&amp;LRahman Anis &amp; Co._x000a_Chartered Accountants&amp;RModern Pharmaceuticals Limited_x000a_Year ended 30 June 2026</oddHeader>
    <oddFooter>&amp;LConfidential — Statutory audit working / FS pack&amp;CPage &amp;P of &amp;N&amp;RPolicies</oddFooter>
    <evenHeader/>
    <evenFooter/>
    <firstHeader/>
    <firstFooter/>
  </headerFooter>
</worksheet>
</file>

<file path=xl/worksheets/sheet10.xml><?xml version="1.0" encoding="utf-8"?>
<worksheet xmlns="http://schemas.openxmlformats.org/spreadsheetml/2006/main">
  <sheetPr>
    <tabColor rgb="001B365D"/>
    <outlinePr summaryBelow="1" summaryRight="1"/>
    <pageSetUpPr fitToPage="1"/>
  </sheetPr>
  <dimension ref="A1:D116"/>
  <sheetViews>
    <sheetView showGridLines="0" zoomScale="100" workbookViewId="0">
      <selection activeCell="A1" sqref="A1"/>
    </sheetView>
  </sheetViews>
  <sheetFormatPr baseColWidth="8" defaultRowHeight="15"/>
  <cols>
    <col width="56" customWidth="1" min="1" max="1"/>
    <col width="12" customWidth="1" min="2" max="2"/>
    <col width="22" customWidth="1" min="3" max="3"/>
    <col width="24" customWidth="1" min="4" max="4"/>
  </cols>
  <sheetData>
    <row r="1" ht="22" customHeight="1">
      <c r="A1" s="1" t="inlineStr">
        <is>
          <t>RAHMAN ANIS &amp; CO.</t>
        </is>
      </c>
    </row>
    <row r="2" ht="16" customHeight="1">
      <c r="A2" s="3" t="inlineStr">
        <is>
          <t>Chartered Accountants</t>
        </is>
      </c>
    </row>
    <row r="3" ht="8" customHeight="1"/>
    <row r="4" ht="20" customHeight="1">
      <c r="A4" s="30" t="inlineStr">
        <is>
          <t>Modern Pharmaceuticals Limited</t>
        </is>
      </c>
    </row>
    <row r="5" ht="18" customHeight="1">
      <c r="A5" s="2" t="inlineStr">
        <is>
          <t>Notes to the financial statements (Notes 4–23)</t>
        </is>
      </c>
    </row>
    <row r="6" ht="16" customHeight="1">
      <c r="A6" s="31" t="inlineStr">
        <is>
          <t>As at 30 June 2026</t>
        </is>
      </c>
    </row>
    <row r="7" ht="6" customHeight="1">
      <c r="A7" s="32" t="n"/>
      <c r="B7" s="32" t="n"/>
      <c r="C7" s="32" t="n"/>
      <c r="D7" s="32" t="n"/>
    </row>
    <row r="8">
      <c r="A8" s="41" t="inlineStr">
        <is>
          <t>Colour key:  YELLOW = 30 June 2026 INK (type amount)    BLUE = 30 June 2025 last year audited comparative    GREEN = auto formula (do not type)</t>
        </is>
      </c>
    </row>
    <row r="9" ht="42" customHeight="1">
      <c r="A9" s="6" t="inlineStr">
        <is>
          <t>Particulars</t>
        </is>
      </c>
      <c r="B9" s="6" t="inlineStr">
        <is>
          <t>Notes</t>
        </is>
      </c>
      <c r="C9" s="42" t="inlineStr">
        <is>
          <t>30 June 2026
Taka
(INK — fill)</t>
        </is>
      </c>
      <c r="D9" s="43" t="inlineStr">
        <is>
          <t>30 June 2025
Taka
(Last year audited)</t>
        </is>
      </c>
    </row>
    <row r="10" ht="22" customHeight="1">
      <c r="A10" s="44" t="inlineStr">
        <is>
          <t>4.00  Property, plant and equipment</t>
        </is>
      </c>
      <c r="B10" s="45" t="n"/>
      <c r="C10" s="46" t="n"/>
      <c r="D10" s="46" t="n"/>
    </row>
    <row r="11" ht="18" customHeight="1">
      <c r="A11" s="49" t="inlineStr">
        <is>
          <t>Written down value (from Annexure A)</t>
        </is>
      </c>
      <c r="B11" s="33" t="inlineStr">
        <is>
          <t>4.00</t>
        </is>
      </c>
      <c r="C11" s="50">
        <f>'12_PPE_Schedule'!J25</f>
        <v/>
      </c>
      <c r="D11" s="50">
        <f>'12_PPE_Schedule'!J26</f>
        <v/>
      </c>
    </row>
    <row r="12" ht="22" customHeight="1">
      <c r="A12" s="44" t="inlineStr">
        <is>
          <t>5.00  Capital work-in-progress</t>
        </is>
      </c>
      <c r="B12" s="45" t="n"/>
      <c r="C12" s="46" t="n"/>
      <c r="D12" s="46" t="n"/>
    </row>
    <row r="13" ht="18" customHeight="1">
      <c r="A13" s="49" t="inlineStr">
        <is>
          <t>Opening balance</t>
        </is>
      </c>
      <c r="B13" s="33" t="n"/>
      <c r="C13" s="63" t="n"/>
      <c r="D13" s="64" t="n"/>
    </row>
    <row r="14" ht="18" customHeight="1">
      <c r="A14" s="49" t="inlineStr">
        <is>
          <t>Add: Addition during the year</t>
        </is>
      </c>
      <c r="B14" s="33" t="n"/>
      <c r="C14" s="63" t="n"/>
      <c r="D14" s="64" t="n"/>
    </row>
    <row r="15" ht="18" customHeight="1">
      <c r="A15" s="49" t="inlineStr">
        <is>
          <t>Less: Transfer to PPE (should equal PPE row 14 total)</t>
        </is>
      </c>
      <c r="B15" s="33" t="n"/>
      <c r="C15" s="63" t="n"/>
      <c r="D15" s="64" t="n"/>
    </row>
    <row r="16" ht="18" customHeight="1">
      <c r="A16" s="52" t="inlineStr">
        <is>
          <t>Closing capital work-in-progress</t>
        </is>
      </c>
      <c r="B16" s="53" t="n"/>
      <c r="C16" s="54">
        <f>C13+C14-C15</f>
        <v/>
      </c>
      <c r="D16" s="54">
        <f>D13+D14-D15</f>
        <v/>
      </c>
    </row>
    <row r="17" ht="22" customHeight="1">
      <c r="A17" s="44" t="inlineStr">
        <is>
          <t>6.00  Intangible assets (software, product licences)</t>
        </is>
      </c>
      <c r="B17" s="45" t="n"/>
      <c r="C17" s="46" t="n"/>
      <c r="D17" s="46" t="n"/>
    </row>
    <row r="18" ht="18" customHeight="1">
      <c r="A18" s="49" t="inlineStr">
        <is>
          <t>Opening written down value</t>
        </is>
      </c>
      <c r="B18" s="33" t="n"/>
      <c r="C18" s="63" t="n"/>
      <c r="D18" s="64" t="n"/>
    </row>
    <row r="19" ht="18" customHeight="1">
      <c r="A19" s="49" t="inlineStr">
        <is>
          <t>Add: Addition</t>
        </is>
      </c>
      <c r="B19" s="33" t="n"/>
      <c r="C19" s="63" t="n"/>
      <c r="D19" s="64" t="n"/>
    </row>
    <row r="20" ht="18" customHeight="1">
      <c r="A20" s="49" t="inlineStr">
        <is>
          <t>Less: Amortisation for the year</t>
        </is>
      </c>
      <c r="B20" s="33" t="n"/>
      <c r="C20" s="63" t="n"/>
      <c r="D20" s="64" t="n"/>
    </row>
    <row r="21" ht="18" customHeight="1">
      <c r="A21" s="52" t="inlineStr">
        <is>
          <t>Closing intangible assets</t>
        </is>
      </c>
      <c r="B21" s="53" t="inlineStr">
        <is>
          <t>6.00</t>
        </is>
      </c>
      <c r="C21" s="54">
        <f>C18+C19-C20</f>
        <v/>
      </c>
      <c r="D21" s="54">
        <f>D18+D19-D20</f>
        <v/>
      </c>
    </row>
    <row r="22" ht="22" customHeight="1">
      <c r="A22" s="44" t="inlineStr">
        <is>
          <t>7.00  Right-of-use assets (IFRS 16)</t>
        </is>
      </c>
      <c r="B22" s="45" t="n"/>
      <c r="C22" s="46" t="n"/>
      <c r="D22" s="46" t="n"/>
    </row>
    <row r="23" ht="18" customHeight="1">
      <c r="A23" s="49" t="inlineStr">
        <is>
          <t>Opening WDV of ROU assets</t>
        </is>
      </c>
      <c r="B23" s="33" t="n"/>
      <c r="C23" s="63" t="n"/>
      <c r="D23" s="64" t="n"/>
    </row>
    <row r="24" ht="18" customHeight="1">
      <c r="A24" s="49" t="inlineStr">
        <is>
          <t>Add: New leases</t>
        </is>
      </c>
      <c r="B24" s="33" t="n"/>
      <c r="C24" s="63" t="n"/>
      <c r="D24" s="64" t="n"/>
    </row>
    <row r="25" ht="18" customHeight="1">
      <c r="A25" s="49" t="inlineStr">
        <is>
          <t>Less: Depreciation of ROU assets</t>
        </is>
      </c>
      <c r="B25" s="33" t="n"/>
      <c r="C25" s="63" t="n"/>
      <c r="D25" s="64" t="n"/>
    </row>
    <row r="26" ht="18" customHeight="1">
      <c r="A26" s="52" t="inlineStr">
        <is>
          <t>Closing right-of-use assets</t>
        </is>
      </c>
      <c r="B26" s="53" t="inlineStr">
        <is>
          <t>7.00</t>
        </is>
      </c>
      <c r="C26" s="54">
        <f>C23+C24-C25</f>
        <v/>
      </c>
      <c r="D26" s="54">
        <f>D23+D24-D25</f>
        <v/>
      </c>
    </row>
    <row r="27" ht="22" customHeight="1">
      <c r="A27" s="44" t="inlineStr">
        <is>
          <t>8.00  Deferred tax (asset) / liability</t>
        </is>
      </c>
      <c r="B27" s="45" t="n"/>
      <c r="C27" s="46" t="n"/>
      <c r="D27" s="46" t="n"/>
    </row>
    <row r="28" ht="18" customHeight="1">
      <c r="A28" s="49" t="inlineStr">
        <is>
          <t>Deferred tax liability / (asset) (from Annexure D)</t>
        </is>
      </c>
      <c r="B28" s="33" t="inlineStr">
        <is>
          <t>8.00</t>
        </is>
      </c>
      <c r="C28" s="50">
        <f>'15_Tax_WPPF'!C34</f>
        <v/>
      </c>
      <c r="D28" s="50">
        <f>'15_Tax_WPPF'!D34</f>
        <v/>
      </c>
    </row>
    <row r="29" ht="22" customHeight="1">
      <c r="A29" s="44" t="inlineStr">
        <is>
          <t>9.00  Inventories (IAS 2 — lower of cost and NRV)</t>
        </is>
      </c>
      <c r="B29" s="45" t="n"/>
      <c r="C29" s="46" t="n"/>
      <c r="D29" s="46" t="n"/>
    </row>
    <row r="30" ht="18" customHeight="1">
      <c r="A30" s="49" t="inlineStr">
        <is>
          <t>Raw materials</t>
        </is>
      </c>
      <c r="B30" s="33" t="inlineStr">
        <is>
          <t>9.01</t>
        </is>
      </c>
      <c r="C30" s="63" t="n"/>
      <c r="D30" s="64" t="n"/>
    </row>
    <row r="31" ht="18" customHeight="1">
      <c r="A31" s="49" t="inlineStr">
        <is>
          <t>Packing materials</t>
        </is>
      </c>
      <c r="B31" s="33" t="inlineStr">
        <is>
          <t>9.02</t>
        </is>
      </c>
      <c r="C31" s="63" t="n"/>
      <c r="D31" s="64" t="n"/>
    </row>
    <row r="32" ht="18" customHeight="1">
      <c r="A32" s="49" t="inlineStr">
        <is>
          <t>Work-in-process</t>
        </is>
      </c>
      <c r="B32" s="33" t="inlineStr">
        <is>
          <t>9.03</t>
        </is>
      </c>
      <c r="C32" s="63" t="n"/>
      <c r="D32" s="64" t="n"/>
    </row>
    <row r="33" ht="18" customHeight="1">
      <c r="A33" s="49" t="inlineStr">
        <is>
          <t>Finished goods</t>
        </is>
      </c>
      <c r="B33" s="33" t="inlineStr">
        <is>
          <t>9.04</t>
        </is>
      </c>
      <c r="C33" s="63" t="n"/>
      <c r="D33" s="64" t="n"/>
    </row>
    <row r="34" ht="18" customHeight="1">
      <c r="A34" s="49" t="inlineStr">
        <is>
          <t>Spares, stores and others</t>
        </is>
      </c>
      <c r="B34" s="33" t="inlineStr">
        <is>
          <t>9.05</t>
        </is>
      </c>
      <c r="C34" s="63" t="n"/>
      <c r="D34" s="64" t="n"/>
    </row>
    <row r="35" ht="18" customHeight="1">
      <c r="A35" s="49" t="inlineStr">
        <is>
          <t>Less: Provision for slow-moving / obsolete stock (enter as positive)</t>
        </is>
      </c>
      <c r="B35" s="33" t="n"/>
      <c r="C35" s="63" t="n"/>
      <c r="D35" s="64" t="n"/>
    </row>
    <row r="36" ht="18" customHeight="1">
      <c r="A36" s="44" t="inlineStr">
        <is>
          <t>Total inventories</t>
        </is>
      </c>
      <c r="B36" s="6" t="inlineStr">
        <is>
          <t>9.00</t>
        </is>
      </c>
      <c r="C36" s="55">
        <f>C30+C31+C32+C33+C34-C35</f>
        <v/>
      </c>
      <c r="D36" s="55">
        <f>D30+D31+D32+D33+D34-D35</f>
        <v/>
      </c>
    </row>
    <row r="37" ht="18" customHeight="1">
      <c r="A37" s="73" t="inlineStr">
        <is>
          <t>Check vs COGS closing stocks (RM+PK+WIP+FG) — difference should be NIL if same figures used</t>
        </is>
      </c>
      <c r="B37" s="33" t="n"/>
    </row>
    <row r="38" ht="18" customHeight="1">
      <c r="A38" s="49" t="inlineStr">
        <is>
          <t>COGS closing RM+PK+WIP+FG (auto)</t>
        </is>
      </c>
      <c r="B38" s="33" t="n"/>
      <c r="C38" s="50">
        <f>'13_COGS_Factory'!C14+'13_COGS_Factory'!C20+'13_COGS_Factory'!C42+'13_COGS_Factory'!C48</f>
        <v/>
      </c>
      <c r="D38" s="50">
        <f>'13_COGS_Factory'!D14+'13_COGS_Factory'!D20+'13_COGS_Factory'!D42+'13_COGS_Factory'!D48</f>
        <v/>
      </c>
    </row>
    <row r="39" ht="22" customHeight="1">
      <c r="A39" s="44" t="inlineStr">
        <is>
          <t>10.00  Trade and other receivables</t>
        </is>
      </c>
      <c r="B39" s="45" t="n"/>
      <c r="C39" s="46" t="n"/>
      <c r="D39" s="46" t="n"/>
    </row>
    <row r="40" ht="18" customHeight="1">
      <c r="A40" s="49" t="inlineStr">
        <is>
          <t>Trade receivables — local</t>
        </is>
      </c>
      <c r="B40" s="33" t="n"/>
      <c r="C40" s="63" t="n"/>
      <c r="D40" s="64" t="n"/>
    </row>
    <row r="41" ht="18" customHeight="1">
      <c r="A41" s="49" t="inlineStr">
        <is>
          <t>Trade receivables — export</t>
        </is>
      </c>
      <c r="B41" s="33" t="n"/>
      <c r="C41" s="63" t="n"/>
      <c r="D41" s="64" t="n"/>
    </row>
    <row r="42" ht="18" customHeight="1">
      <c r="A42" s="49" t="inlineStr">
        <is>
          <t>Other receivables</t>
        </is>
      </c>
      <c r="B42" s="33" t="n"/>
      <c r="C42" s="63" t="n"/>
      <c r="D42" s="64" t="n"/>
    </row>
    <row r="43" ht="18" customHeight="1">
      <c r="A43" s="49" t="inlineStr">
        <is>
          <t>Less: Allowance for expected credit loss (enter positive)</t>
        </is>
      </c>
      <c r="B43" s="33" t="n"/>
      <c r="C43" s="63" t="n"/>
      <c r="D43" s="64" t="n"/>
    </row>
    <row r="44" ht="18" customHeight="1">
      <c r="A44" s="44" t="inlineStr">
        <is>
          <t>Total trade and other receivables</t>
        </is>
      </c>
      <c r="B44" s="6" t="inlineStr">
        <is>
          <t>10.00</t>
        </is>
      </c>
      <c r="C44" s="55">
        <f>C40+C41+C42-C43</f>
        <v/>
      </c>
      <c r="D44" s="55">
        <f>D40+D41+D42-D43</f>
        <v/>
      </c>
    </row>
    <row r="45" ht="22" customHeight="1">
      <c r="A45" s="44" t="inlineStr">
        <is>
          <t>11.00  Advances, deposits and prepayments</t>
        </is>
      </c>
      <c r="B45" s="45" t="n"/>
      <c r="C45" s="46" t="n"/>
      <c r="D45" s="46" t="n"/>
    </row>
    <row r="46" ht="18" customHeight="1">
      <c r="A46" s="49" t="inlineStr">
        <is>
          <t>Advance to suppliers</t>
        </is>
      </c>
      <c r="B46" s="33" t="n"/>
      <c r="C46" s="63" t="n"/>
      <c r="D46" s="64" t="n"/>
    </row>
    <row r="47" ht="18" customHeight="1">
      <c r="A47" s="49" t="inlineStr">
        <is>
          <t>Advance to employees</t>
        </is>
      </c>
      <c r="B47" s="33" t="n"/>
      <c r="C47" s="63" t="n"/>
      <c r="D47" s="64" t="n"/>
    </row>
    <row r="48" ht="18" customHeight="1">
      <c r="A48" s="49" t="inlineStr">
        <is>
          <t>VAT current account / advance VAT</t>
        </is>
      </c>
      <c r="B48" s="33" t="n"/>
      <c r="C48" s="63" t="n"/>
      <c r="D48" s="64" t="n"/>
    </row>
    <row r="49" ht="18" customHeight="1">
      <c r="A49" s="49" t="inlineStr">
        <is>
          <t>Security deposits (utilities, Titas, PDB, depot, etc.)</t>
        </is>
      </c>
      <c r="B49" s="33" t="n"/>
      <c r="C49" s="63" t="n"/>
      <c r="D49" s="64" t="n"/>
    </row>
    <row r="50" ht="18" customHeight="1">
      <c r="A50" s="49" t="inlineStr">
        <is>
          <t>Prepaid insurance and other prepayments</t>
        </is>
      </c>
      <c r="B50" s="33" t="n"/>
      <c r="C50" s="63" t="n"/>
      <c r="D50" s="64" t="n"/>
    </row>
    <row r="51" ht="18" customHeight="1">
      <c r="A51" s="49" t="inlineStr">
        <is>
          <t>L/C margin and bank margin</t>
        </is>
      </c>
      <c r="B51" s="33" t="n"/>
      <c r="C51" s="63" t="n"/>
      <c r="D51" s="64" t="n"/>
    </row>
    <row r="52" ht="18" customHeight="1">
      <c r="A52" s="49" t="inlineStr">
        <is>
          <t>Other advances</t>
        </is>
      </c>
      <c r="B52" s="33" t="n"/>
      <c r="C52" s="63" t="n"/>
      <c r="D52" s="64" t="n"/>
    </row>
    <row r="53" ht="18" customHeight="1">
      <c r="A53" s="44" t="inlineStr">
        <is>
          <t>Total advances, deposits and prepayments</t>
        </is>
      </c>
      <c r="B53" s="6" t="inlineStr">
        <is>
          <t>11.00</t>
        </is>
      </c>
      <c r="C53" s="55">
        <f>C46+C47+C48+C49+C50+C51+C52</f>
        <v/>
      </c>
      <c r="D53" s="55">
        <f>D46+D47+D48+D49+D50+D51+D52</f>
        <v/>
      </c>
    </row>
    <row r="54" ht="22" customHeight="1">
      <c r="A54" s="44" t="inlineStr">
        <is>
          <t>12.00  Advance income tax</t>
        </is>
      </c>
      <c r="B54" s="45" t="n"/>
      <c r="C54" s="46" t="n"/>
      <c r="D54" s="46" t="n"/>
    </row>
    <row r="55" ht="18" customHeight="1">
      <c r="A55" s="49" t="inlineStr">
        <is>
          <t>Opening AIT</t>
        </is>
      </c>
      <c r="B55" s="33" t="n"/>
      <c r="C55" s="63" t="n"/>
      <c r="D55" s="64" t="n"/>
    </row>
    <row r="56" ht="18" customHeight="1">
      <c r="A56" s="49" t="inlineStr">
        <is>
          <t>Add: Deducted / paid during the year (u/s withholding, advance)</t>
        </is>
      </c>
      <c r="B56" s="33" t="n"/>
      <c r="C56" s="63" t="n"/>
      <c r="D56" s="64" t="n"/>
    </row>
    <row r="57" ht="18" customHeight="1">
      <c r="A57" s="49" t="inlineStr">
        <is>
          <t>Less: Adjusted against completed assessments</t>
        </is>
      </c>
      <c r="B57" s="33" t="n"/>
      <c r="C57" s="63" t="n"/>
      <c r="D57" s="64" t="n"/>
    </row>
    <row r="58" ht="18" customHeight="1">
      <c r="A58" s="44" t="inlineStr">
        <is>
          <t>Closing advance income tax</t>
        </is>
      </c>
      <c r="B58" s="6" t="inlineStr">
        <is>
          <t>12.00</t>
        </is>
      </c>
      <c r="C58" s="55">
        <f>C55+C56-C57</f>
        <v/>
      </c>
      <c r="D58" s="55">
        <f>D55+D56-D57</f>
        <v/>
      </c>
    </row>
    <row r="59" ht="22" customHeight="1">
      <c r="A59" s="44" t="inlineStr">
        <is>
          <t>13.00  Cash and cash equivalents</t>
        </is>
      </c>
      <c r="B59" s="45" t="n"/>
      <c r="C59" s="46" t="n"/>
      <c r="D59" s="46" t="n"/>
    </row>
    <row r="60" ht="18" customHeight="1">
      <c r="A60" s="49" t="inlineStr">
        <is>
          <t>Cash in hand</t>
        </is>
      </c>
      <c r="B60" s="33" t="n"/>
      <c r="C60" s="63" t="n"/>
      <c r="D60" s="64" t="n"/>
    </row>
    <row r="61" ht="18" customHeight="1">
      <c r="A61" s="49" t="inlineStr">
        <is>
          <t>Cash at bank — current / SND / STD (local)</t>
        </is>
      </c>
      <c r="B61" s="33" t="n"/>
      <c r="C61" s="63" t="n"/>
      <c r="D61" s="64" t="n"/>
    </row>
    <row r="62" ht="18" customHeight="1">
      <c r="A62" s="49" t="inlineStr">
        <is>
          <t>Cash at bank — FDR with original maturity ≤ 3 months</t>
        </is>
      </c>
      <c r="B62" s="33" t="n"/>
      <c r="C62" s="63" t="n"/>
      <c r="D62" s="64" t="n"/>
    </row>
    <row r="63" ht="18" customHeight="1">
      <c r="A63" s="49" t="inlineStr">
        <is>
          <t>Cash at bank — foreign currency / ERQ (if any)</t>
        </is>
      </c>
      <c r="B63" s="33" t="n"/>
      <c r="C63" s="63" t="n"/>
      <c r="D63" s="64" t="n"/>
    </row>
    <row r="64" ht="18" customHeight="1">
      <c r="A64" s="49" t="inlineStr">
        <is>
          <t>Less: Uncleared / provision if any (enter positive)</t>
        </is>
      </c>
      <c r="B64" s="33" t="n"/>
      <c r="C64" s="63" t="n"/>
      <c r="D64" s="64" t="n"/>
    </row>
    <row r="65" ht="18" customHeight="1">
      <c r="A65" s="44" t="inlineStr">
        <is>
          <t>Total cash and cash equivalents</t>
        </is>
      </c>
      <c r="B65" s="6" t="inlineStr">
        <is>
          <t>13.00</t>
        </is>
      </c>
      <c r="C65" s="55">
        <f>C60+C61+C62+C63-C64</f>
        <v/>
      </c>
      <c r="D65" s="55">
        <f>D60+D61+D62+D63-D64</f>
        <v/>
      </c>
    </row>
    <row r="66" ht="22" customHeight="1">
      <c r="A66" s="44" t="inlineStr">
        <is>
          <t>13A.  Other current / non-current assets (if any)</t>
        </is>
      </c>
      <c r="B66" s="45" t="n"/>
      <c r="C66" s="46" t="n"/>
      <c r="D66" s="46" t="n"/>
    </row>
    <row r="67" ht="18" customHeight="1">
      <c r="A67" s="49" t="inlineStr">
        <is>
          <t>Investment in FDR (maturity &gt; 3 months) — current</t>
        </is>
      </c>
      <c r="B67" s="33" t="n"/>
      <c r="C67" s="63" t="n"/>
      <c r="D67" s="64" t="n"/>
    </row>
    <row r="68" ht="18" customHeight="1">
      <c r="A68" s="49" t="inlineStr">
        <is>
          <t>Investment in shares / others (INK)</t>
        </is>
      </c>
      <c r="B68" s="33" t="n"/>
      <c r="C68" s="63" t="n"/>
      <c r="D68" s="64" t="n"/>
    </row>
    <row r="69" ht="18" customHeight="1">
      <c r="A69" s="49" t="inlineStr">
        <is>
          <t>Other non-current assets</t>
        </is>
      </c>
      <c r="B69" s="33" t="n"/>
      <c r="C69" s="63" t="n"/>
      <c r="D69" s="64" t="n"/>
    </row>
    <row r="70" ht="22" customHeight="1">
      <c r="A70" s="44" t="inlineStr">
        <is>
          <t>14.00  Share capital</t>
        </is>
      </c>
      <c r="B70" s="45" t="n"/>
      <c r="C70" s="46" t="n"/>
      <c r="D70" s="46" t="n"/>
    </row>
    <row r="71" ht="18" customHeight="1">
      <c r="A71" s="49" t="inlineStr">
        <is>
          <t>Authorised capital (disclosure only — not in SOFP total)</t>
        </is>
      </c>
      <c r="B71" s="33" t="n"/>
      <c r="C71" s="63" t="n"/>
      <c r="D71" s="64" t="n"/>
    </row>
    <row r="72" ht="18" customHeight="1">
      <c r="A72" s="49" t="inlineStr">
        <is>
          <t>Issued, subscribed and paid-up capital (to SOFP)</t>
        </is>
      </c>
      <c r="B72" s="33" t="inlineStr">
        <is>
          <t>14.00</t>
        </is>
      </c>
      <c r="C72" s="63" t="n"/>
      <c r="D72" s="64" t="n"/>
    </row>
    <row r="73" ht="18" customHeight="1">
      <c r="A73" s="49" t="inlineStr">
        <is>
          <t>Share premium (if any)</t>
        </is>
      </c>
      <c r="B73" s="33" t="n"/>
      <c r="C73" s="63" t="n"/>
      <c r="D73" s="64" t="n"/>
    </row>
    <row r="74" ht="18" customHeight="1">
      <c r="A74" s="49" t="inlineStr">
        <is>
          <t>Revaluation surplus (if any)</t>
        </is>
      </c>
      <c r="B74" s="33" t="n"/>
      <c r="C74" s="63" t="n"/>
      <c r="D74" s="64" t="n"/>
    </row>
    <row r="75" ht="18" customHeight="1">
      <c r="A75" s="49" t="inlineStr">
        <is>
          <t>Other reserve (if any)</t>
        </is>
      </c>
      <c r="B75" s="33" t="n"/>
      <c r="C75" s="63" t="n"/>
      <c r="D75" s="64" t="n"/>
    </row>
    <row r="76" ht="22" customHeight="1">
      <c r="A76" s="44" t="inlineStr">
        <is>
          <t>15.00  Retained earnings</t>
        </is>
      </c>
      <c r="B76" s="45" t="n"/>
      <c r="C76" s="46" t="n"/>
      <c r="D76" s="46" t="n"/>
    </row>
    <row r="77" ht="18" customHeight="1">
      <c r="A77" s="49" t="inlineStr">
        <is>
          <t>Closing retained earnings  [CY auto from SOCIE | LY = last year audited RE — BLUE input]</t>
        </is>
      </c>
      <c r="B77" s="33" t="inlineStr">
        <is>
          <t>15.00</t>
        </is>
      </c>
      <c r="C77" s="50">
        <f>06_SOCIE!E21</f>
        <v/>
      </c>
      <c r="D77" s="64" t="n"/>
    </row>
    <row r="78" ht="22" customHeight="1">
      <c r="A78" s="44" t="inlineStr">
        <is>
          <t>16.00  Long-term borrowings</t>
        </is>
      </c>
      <c r="B78" s="45" t="n"/>
      <c r="C78" s="46" t="n"/>
      <c r="D78" s="46" t="n"/>
    </row>
    <row r="79" ht="18" customHeight="1">
      <c r="A79" s="49" t="inlineStr">
        <is>
          <t>Term loan from banks / FIs (gross)</t>
        </is>
      </c>
      <c r="B79" s="33" t="n"/>
      <c r="C79" s="63" t="n"/>
      <c r="D79" s="64" t="n"/>
    </row>
    <row r="80" ht="18" customHeight="1">
      <c r="A80" s="49" t="inlineStr">
        <is>
          <t>Less: Current portion (to Note 20)</t>
        </is>
      </c>
      <c r="B80" s="33" t="n"/>
      <c r="C80" s="63" t="n"/>
      <c r="D80" s="64" t="n"/>
    </row>
    <row r="81" ht="18" customHeight="1">
      <c r="A81" s="44" t="inlineStr">
        <is>
          <t>Long-term borrowings — non-current portion</t>
        </is>
      </c>
      <c r="B81" s="6" t="inlineStr">
        <is>
          <t>16.00</t>
        </is>
      </c>
      <c r="C81" s="55">
        <f>C79-C80</f>
        <v/>
      </c>
      <c r="D81" s="55">
        <f>D79-D80</f>
        <v/>
      </c>
    </row>
    <row r="82" ht="22" customHeight="1">
      <c r="A82" s="44" t="inlineStr">
        <is>
          <t>17.00  Lease liabilities (IFRS 16)</t>
        </is>
      </c>
      <c r="B82" s="45" t="n"/>
      <c r="C82" s="46" t="n"/>
      <c r="D82" s="46" t="n"/>
    </row>
    <row r="83" ht="18" customHeight="1">
      <c r="A83" s="49" t="inlineStr">
        <is>
          <t>Lease liability — non-current</t>
        </is>
      </c>
      <c r="B83" s="33" t="inlineStr">
        <is>
          <t>17.01</t>
        </is>
      </c>
      <c r="C83" s="63" t="n"/>
      <c r="D83" s="64" t="n"/>
    </row>
    <row r="84" ht="18" customHeight="1">
      <c r="A84" s="49" t="inlineStr">
        <is>
          <t>Lease liability — current</t>
        </is>
      </c>
      <c r="B84" s="33" t="inlineStr">
        <is>
          <t>17.02</t>
        </is>
      </c>
      <c r="C84" s="63" t="n"/>
      <c r="D84" s="64" t="n"/>
    </row>
    <row r="85" ht="18" customHeight="1">
      <c r="A85" s="52" t="inlineStr">
        <is>
          <t>Total lease liabilities</t>
        </is>
      </c>
      <c r="B85" s="53" t="n"/>
      <c r="C85" s="54">
        <f>C83+C84</f>
        <v/>
      </c>
      <c r="D85" s="54">
        <f>D83+D84</f>
        <v/>
      </c>
    </row>
    <row r="86" ht="22" customHeight="1">
      <c r="A86" s="44" t="inlineStr">
        <is>
          <t>18.00  Trade and other payables</t>
        </is>
      </c>
      <c r="B86" s="45" t="n"/>
      <c r="C86" s="46" t="n"/>
      <c r="D86" s="46" t="n"/>
    </row>
    <row r="87" ht="18" customHeight="1">
      <c r="A87" s="49" t="inlineStr">
        <is>
          <t>Trade payables — raw &amp; packing materials</t>
        </is>
      </c>
      <c r="B87" s="33" t="n"/>
      <c r="C87" s="63" t="n"/>
      <c r="D87" s="64" t="n"/>
    </row>
    <row r="88" ht="18" customHeight="1">
      <c r="A88" s="49" t="inlineStr">
        <is>
          <t>Trade payables — others</t>
        </is>
      </c>
      <c r="B88" s="33" t="n"/>
      <c r="C88" s="63" t="n"/>
      <c r="D88" s="64" t="n"/>
    </row>
    <row r="89" ht="18" customHeight="1">
      <c r="A89" s="49" t="inlineStr">
        <is>
          <t>Bills payable / acceptance</t>
        </is>
      </c>
      <c r="B89" s="33" t="n"/>
      <c r="C89" s="63" t="n"/>
      <c r="D89" s="64" t="n"/>
    </row>
    <row r="90" ht="18" customHeight="1">
      <c r="A90" s="49" t="inlineStr">
        <is>
          <t>Payable to related parties (trade)</t>
        </is>
      </c>
      <c r="B90" s="33" t="n"/>
      <c r="C90" s="63" t="n"/>
      <c r="D90" s="64" t="n"/>
    </row>
    <row r="91" ht="18" customHeight="1">
      <c r="A91" s="44" t="inlineStr">
        <is>
          <t>Total trade and other payables</t>
        </is>
      </c>
      <c r="B91" s="6" t="inlineStr">
        <is>
          <t>18.00</t>
        </is>
      </c>
      <c r="C91" s="55">
        <f>C87+C88+C89+C90</f>
        <v/>
      </c>
      <c r="D91" s="55">
        <f>D87+D88+D89+D90</f>
        <v/>
      </c>
    </row>
    <row r="92" ht="22" customHeight="1">
      <c r="A92" s="44" t="inlineStr">
        <is>
          <t>19.00  Short-term borrowings</t>
        </is>
      </c>
      <c r="B92" s="45" t="n"/>
      <c r="C92" s="46" t="n"/>
      <c r="D92" s="46" t="n"/>
    </row>
    <row r="93" ht="18" customHeight="1">
      <c r="A93" s="49" t="inlineStr">
        <is>
          <t>Cash credit / overdraft</t>
        </is>
      </c>
      <c r="B93" s="33" t="n"/>
      <c r="C93" s="63" t="n"/>
      <c r="D93" s="64" t="n"/>
    </row>
    <row r="94" ht="18" customHeight="1">
      <c r="A94" s="49" t="inlineStr">
        <is>
          <t>LTR / time loan / packing credit</t>
        </is>
      </c>
      <c r="B94" s="33" t="n"/>
      <c r="C94" s="63" t="n"/>
      <c r="D94" s="64" t="n"/>
    </row>
    <row r="95" ht="18" customHeight="1">
      <c r="A95" s="49" t="inlineStr">
        <is>
          <t>Other short-term bank loan</t>
        </is>
      </c>
      <c r="B95" s="33" t="n"/>
      <c r="C95" s="63" t="n"/>
      <c r="D95" s="64" t="n"/>
    </row>
    <row r="96" ht="18" customHeight="1">
      <c r="A96" s="44" t="inlineStr">
        <is>
          <t>Total short-term borrowings</t>
        </is>
      </c>
      <c r="B96" s="6" t="inlineStr">
        <is>
          <t>19.00</t>
        </is>
      </c>
      <c r="C96" s="55">
        <f>C93+C94+C95</f>
        <v/>
      </c>
      <c r="D96" s="55">
        <f>D93+D94+D95</f>
        <v/>
      </c>
    </row>
    <row r="97" ht="22" customHeight="1">
      <c r="A97" s="44" t="inlineStr">
        <is>
          <t>20.00  Current portion of long-term borrowings</t>
        </is>
      </c>
      <c r="B97" s="45" t="n"/>
      <c r="C97" s="46" t="n"/>
      <c r="D97" s="46" t="n"/>
    </row>
    <row r="98" ht="18" customHeight="1">
      <c r="A98" s="49" t="inlineStr">
        <is>
          <t>Current portion (linked to Note 16)</t>
        </is>
      </c>
      <c r="B98" s="33" t="inlineStr">
        <is>
          <t>20.00</t>
        </is>
      </c>
      <c r="C98" s="50">
        <f>C80</f>
        <v/>
      </c>
      <c r="D98" s="50">
        <f>D80</f>
        <v/>
      </c>
    </row>
    <row r="99" ht="22" customHeight="1">
      <c r="A99" s="44" t="inlineStr">
        <is>
          <t>21.00  Liabilities for expenses and other current liabilities</t>
        </is>
      </c>
      <c r="B99" s="45" t="n"/>
      <c r="C99" s="46" t="n"/>
      <c r="D99" s="46" t="n"/>
    </row>
    <row r="100" ht="18" customHeight="1">
      <c r="A100" s="49" t="inlineStr">
        <is>
          <t>Salary and wages payable</t>
        </is>
      </c>
      <c r="B100" s="33" t="n"/>
      <c r="C100" s="63" t="n"/>
      <c r="D100" s="64" t="n"/>
    </row>
    <row r="101" ht="18" customHeight="1">
      <c r="A101" s="49" t="inlineStr">
        <is>
          <t>Utilities payable</t>
        </is>
      </c>
      <c r="B101" s="33" t="n"/>
      <c r="C101" s="63" t="n"/>
      <c r="D101" s="64" t="n"/>
    </row>
    <row r="102" ht="18" customHeight="1">
      <c r="A102" s="49" t="inlineStr">
        <is>
          <t>Audit fee payable</t>
        </is>
      </c>
      <c r="B102" s="33" t="n"/>
      <c r="C102" s="63" t="n"/>
      <c r="D102" s="64" t="n"/>
    </row>
    <row r="103" ht="18" customHeight="1">
      <c r="A103" s="49" t="inlineStr">
        <is>
          <t>TDS / VDS payable</t>
        </is>
      </c>
      <c r="B103" s="33" t="n"/>
      <c r="C103" s="63" t="n"/>
      <c r="D103" s="64" t="n"/>
    </row>
    <row r="104" ht="18" customHeight="1">
      <c r="A104" s="49" t="inlineStr">
        <is>
          <t>Advance from customers</t>
        </is>
      </c>
      <c r="B104" s="33" t="n"/>
      <c r="C104" s="63" t="n"/>
      <c r="D104" s="64" t="n"/>
    </row>
    <row r="105" ht="18" customHeight="1">
      <c r="A105" s="49" t="inlineStr">
        <is>
          <t>Accrued interest on borrowings</t>
        </is>
      </c>
      <c r="B105" s="33" t="n"/>
      <c r="C105" s="63" t="n"/>
      <c r="D105" s="64" t="n"/>
    </row>
    <row r="106" ht="18" customHeight="1">
      <c r="A106" s="49" t="inlineStr">
        <is>
          <t>Provision for gratuity — current (if any)</t>
        </is>
      </c>
      <c r="B106" s="33" t="n"/>
      <c r="C106" s="63" t="n"/>
      <c r="D106" s="64" t="n"/>
    </row>
    <row r="107" ht="18" customHeight="1">
      <c r="A107" s="49" t="inlineStr">
        <is>
          <t>Unclaimed dividend</t>
        </is>
      </c>
      <c r="B107" s="33" t="n"/>
      <c r="C107" s="63" t="n"/>
      <c r="D107" s="64" t="n"/>
    </row>
    <row r="108" ht="18" customHeight="1">
      <c r="A108" s="49" t="inlineStr">
        <is>
          <t>Other liabilities for expenses</t>
        </is>
      </c>
      <c r="B108" s="33" t="n"/>
      <c r="C108" s="63" t="n"/>
      <c r="D108" s="64" t="n"/>
    </row>
    <row r="109" ht="18" customHeight="1">
      <c r="A109" s="44" t="inlineStr">
        <is>
          <t>Total liabilities for expenses</t>
        </is>
      </c>
      <c r="B109" s="6" t="inlineStr">
        <is>
          <t>21.00</t>
        </is>
      </c>
      <c r="C109" s="55">
        <f>C100+C101+C102+C103+C104+C105+C106+C107+C108</f>
        <v/>
      </c>
      <c r="D109" s="55">
        <f>D100+D101+D102+D103+D104+D105+D106+D107+D108</f>
        <v/>
      </c>
    </row>
    <row r="110" ht="22" customHeight="1">
      <c r="A110" s="44" t="inlineStr">
        <is>
          <t>22.00  Provision for income tax</t>
        </is>
      </c>
      <c r="B110" s="45" t="n"/>
      <c r="C110" s="46" t="n"/>
      <c r="D110" s="46" t="n"/>
    </row>
    <row r="111" ht="18" customHeight="1">
      <c r="A111" s="49" t="inlineStr">
        <is>
          <t>Closing provision (from Annexure D)</t>
        </is>
      </c>
      <c r="B111" s="33" t="inlineStr">
        <is>
          <t>22.00</t>
        </is>
      </c>
      <c r="C111" s="50">
        <f>'15_Tax_WPPF'!C41</f>
        <v/>
      </c>
      <c r="D111" s="50">
        <f>'15_Tax_WPPF'!D41</f>
        <v/>
      </c>
    </row>
    <row r="112" ht="22" customHeight="1">
      <c r="A112" s="44" t="inlineStr">
        <is>
          <t>23.00  Workers' Profit Participation Fund</t>
        </is>
      </c>
      <c r="B112" s="45" t="n"/>
      <c r="C112" s="46" t="n"/>
      <c r="D112" s="46" t="n"/>
    </row>
    <row r="113" ht="18" customHeight="1">
      <c r="A113" s="49" t="inlineStr">
        <is>
          <t>Closing WPPF payable (from Annexure D)</t>
        </is>
      </c>
      <c r="B113" s="33" t="inlineStr">
        <is>
          <t>23.00</t>
        </is>
      </c>
      <c r="C113" s="50">
        <f>'15_Tax_WPPF'!C47</f>
        <v/>
      </c>
      <c r="D113" s="50">
        <f>'15_Tax_WPPF'!D47</f>
        <v/>
      </c>
    </row>
    <row r="114" ht="22" customHeight="1">
      <c r="A114" s="44" t="inlineStr">
        <is>
          <t>Other SOFP items</t>
        </is>
      </c>
      <c r="B114" s="45" t="n"/>
      <c r="C114" s="46" t="n"/>
      <c r="D114" s="46" t="n"/>
    </row>
    <row r="115" ht="18" customHeight="1">
      <c r="A115" s="49" t="inlineStr">
        <is>
          <t>Provision for gratuity — non-current</t>
        </is>
      </c>
      <c r="B115" s="33" t="n"/>
      <c r="C115" s="63" t="n"/>
      <c r="D115" s="64" t="n"/>
    </row>
    <row r="116" ht="18" customHeight="1">
      <c r="A116" s="49" t="inlineStr">
        <is>
          <t>Other non-current liabilities</t>
        </is>
      </c>
      <c r="B116" s="33" t="n"/>
      <c r="C116" s="63" t="n"/>
      <c r="D116" s="64" t="n"/>
    </row>
  </sheetData>
  <mergeCells count="6">
    <mergeCell ref="A1:D1"/>
    <mergeCell ref="A5:D5"/>
    <mergeCell ref="A8:D8"/>
    <mergeCell ref="A6:D6"/>
    <mergeCell ref="A4:D4"/>
    <mergeCell ref="A2:D2"/>
  </mergeCells>
  <pageMargins left="0.5" right="0.5" top="0.7" bottom="0.7" header="0.3" footer="0.3"/>
  <pageSetup orientation="portrait" paperSize="9" fitToHeight="0" fitToWidth="1"/>
  <headerFooter>
    <oddHeader>&amp;LRahman Anis &amp; Co._x000a_Chartered Accountants&amp;RModern Pharmaceuticals Limited_x000a_Year ended 30 June 2026</oddHeader>
    <oddFooter>&amp;LConfidential — Statutory audit working / FS pack&amp;CPage &amp;P of &amp;N&amp;RNotes SOFP</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001B365D"/>
    <outlinePr summaryBelow="1" summaryRight="1"/>
    <pageSetUpPr fitToPage="1"/>
  </sheetPr>
  <dimension ref="A1:D46"/>
  <sheetViews>
    <sheetView showGridLines="0" zoomScale="100" workbookViewId="0">
      <selection activeCell="A1" sqref="A1"/>
    </sheetView>
  </sheetViews>
  <sheetFormatPr baseColWidth="8" defaultRowHeight="15"/>
  <cols>
    <col width="56" customWidth="1" min="1" max="1"/>
    <col width="12" customWidth="1" min="2" max="2"/>
    <col width="22" customWidth="1" min="3" max="3"/>
    <col width="24" customWidth="1" min="4" max="4"/>
  </cols>
  <sheetData>
    <row r="1" ht="22" customHeight="1">
      <c r="A1" s="1" t="inlineStr">
        <is>
          <t>RAHMAN ANIS &amp; CO.</t>
        </is>
      </c>
    </row>
    <row r="2" ht="16" customHeight="1">
      <c r="A2" s="3" t="inlineStr">
        <is>
          <t>Chartered Accountants</t>
        </is>
      </c>
    </row>
    <row r="3" ht="8" customHeight="1"/>
    <row r="4" ht="20" customHeight="1">
      <c r="A4" s="30" t="inlineStr">
        <is>
          <t>Modern Pharmaceuticals Limited</t>
        </is>
      </c>
    </row>
    <row r="5" ht="18" customHeight="1">
      <c r="A5" s="2" t="inlineStr">
        <is>
          <t>Notes to the financial statements (Notes 24–33)</t>
        </is>
      </c>
    </row>
    <row r="6" ht="16" customHeight="1">
      <c r="A6" s="31" t="inlineStr">
        <is>
          <t>For the year ended 30 June 2026</t>
        </is>
      </c>
    </row>
    <row r="7" ht="6" customHeight="1">
      <c r="A7" s="32" t="n"/>
      <c r="B7" s="32" t="n"/>
      <c r="C7" s="32" t="n"/>
      <c r="D7" s="32" t="n"/>
    </row>
    <row r="8">
      <c r="A8" s="41" t="inlineStr">
        <is>
          <t>Colour key:  YELLOW = 30 June 2026 INK (type amount)    BLUE = 30 June 2025 last year audited comparative    GREEN = auto formula (do not type)</t>
        </is>
      </c>
    </row>
    <row r="9" ht="42" customHeight="1">
      <c r="A9" s="6" t="inlineStr">
        <is>
          <t>Particulars</t>
        </is>
      </c>
      <c r="B9" s="6" t="inlineStr">
        <is>
          <t>Notes</t>
        </is>
      </c>
      <c r="C9" s="42" t="inlineStr">
        <is>
          <t>30 June 2026
Taka
(INK — fill)</t>
        </is>
      </c>
      <c r="D9" s="43" t="inlineStr">
        <is>
          <t>30 June 2025
Taka
(Last year audited)</t>
        </is>
      </c>
    </row>
    <row r="10" ht="22" customHeight="1">
      <c r="A10" s="44" t="inlineStr">
        <is>
          <t>24.00  Revenue (IFRS 15)</t>
        </is>
      </c>
      <c r="B10" s="45" t="n"/>
      <c r="C10" s="46" t="n"/>
      <c r="D10" s="46" t="n"/>
    </row>
    <row r="11" ht="18" customHeight="1">
      <c r="A11" s="49" t="inlineStr">
        <is>
          <t>Local sales of pharmaceutical products (gross)</t>
        </is>
      </c>
      <c r="B11" s="33" t="n"/>
      <c r="C11" s="63" t="n"/>
      <c r="D11" s="64" t="n"/>
    </row>
    <row r="12" ht="18" customHeight="1">
      <c r="A12" s="49" t="inlineStr">
        <is>
          <t>Export sales (gross)</t>
        </is>
      </c>
      <c r="B12" s="33" t="n"/>
      <c r="C12" s="63" t="n"/>
      <c r="D12" s="64" t="n"/>
    </row>
    <row r="13" ht="18" customHeight="1">
      <c r="A13" s="49" t="inlineStr">
        <is>
          <t>Less: VAT / SD included in gross (if sales are tax-inclusive) — enter positive</t>
        </is>
      </c>
      <c r="B13" s="33" t="n"/>
      <c r="C13" s="63" t="n"/>
      <c r="D13" s="64" t="n"/>
    </row>
    <row r="14" ht="18" customHeight="1">
      <c r="A14" s="49" t="inlineStr">
        <is>
          <t>Less: Sales return, rebate, discount — enter positive</t>
        </is>
      </c>
      <c r="B14" s="33" t="n"/>
      <c r="C14" s="63" t="n"/>
      <c r="D14" s="64" t="n"/>
    </row>
    <row r="15" ht="18" customHeight="1">
      <c r="A15" s="44" t="inlineStr">
        <is>
          <t>Net revenue</t>
        </is>
      </c>
      <c r="B15" s="6" t="inlineStr">
        <is>
          <t>24.00</t>
        </is>
      </c>
      <c r="C15" s="55">
        <f>C11+C12-C13-C14</f>
        <v/>
      </c>
      <c r="D15" s="55">
        <f>D11+D12-D13-D14</f>
        <v/>
      </c>
    </row>
    <row r="16" ht="22" customHeight="1">
      <c r="A16" s="44" t="inlineStr">
        <is>
          <t>25.00  Cost of sales</t>
        </is>
      </c>
      <c r="B16" s="45" t="n"/>
      <c r="C16" s="46" t="n"/>
      <c r="D16" s="46" t="n"/>
    </row>
    <row r="17" ht="18" customHeight="1">
      <c r="A17" s="49" t="inlineStr">
        <is>
          <t>Cost of sales (from Annexure B)</t>
        </is>
      </c>
      <c r="B17" s="33" t="inlineStr">
        <is>
          <t>25.00</t>
        </is>
      </c>
      <c r="C17" s="50">
        <f>'13_COGS_Factory'!C49</f>
        <v/>
      </c>
      <c r="D17" s="50">
        <f>'13_COGS_Factory'!D49</f>
        <v/>
      </c>
    </row>
    <row r="18" ht="22" customHeight="1">
      <c r="A18" s="44" t="inlineStr">
        <is>
          <t>26.00  Other income</t>
        </is>
      </c>
      <c r="B18" s="45" t="n"/>
      <c r="C18" s="46" t="n"/>
      <c r="D18" s="46" t="n"/>
    </row>
    <row r="19" ht="18" customHeight="1">
      <c r="A19" s="49" t="inlineStr">
        <is>
          <t>Interest on SND / FDR</t>
        </is>
      </c>
      <c r="B19" s="33" t="n"/>
      <c r="C19" s="63" t="n"/>
      <c r="D19" s="64" t="n"/>
    </row>
    <row r="20" ht="18" customHeight="1">
      <c r="A20" s="49" t="inlineStr">
        <is>
          <t>Gain on disposal of PPE (from PPE C50) / other</t>
        </is>
      </c>
      <c r="B20" s="33" t="n"/>
      <c r="C20" s="50">
        <f>'12_PPE_Schedule'!C50</f>
        <v/>
      </c>
      <c r="D20" s="64" t="n"/>
    </row>
    <row r="21" ht="18" customHeight="1">
      <c r="A21" s="49" t="inlineStr">
        <is>
          <t>Scrap / miscellaneous income</t>
        </is>
      </c>
      <c r="B21" s="33" t="n"/>
      <c r="C21" s="63" t="n"/>
      <c r="D21" s="64" t="n"/>
    </row>
    <row r="22" ht="18" customHeight="1">
      <c r="A22" s="49" t="inlineStr">
        <is>
          <t>Wastage / other operating income</t>
        </is>
      </c>
      <c r="B22" s="33" t="n"/>
      <c r="C22" s="63" t="n"/>
      <c r="D22" s="64" t="n"/>
    </row>
    <row r="23" ht="18" customHeight="1">
      <c r="A23" s="44" t="inlineStr">
        <is>
          <t>Total other income</t>
        </is>
      </c>
      <c r="B23" s="6" t="inlineStr">
        <is>
          <t>26.00</t>
        </is>
      </c>
      <c r="C23" s="55">
        <f>C19+C20+C21+C22</f>
        <v/>
      </c>
      <c r="D23" s="55">
        <f>D19+D20+D21+D22</f>
        <v/>
      </c>
    </row>
    <row r="24" ht="22" customHeight="1">
      <c r="A24" s="44" t="inlineStr">
        <is>
          <t>27.00  Administrative expenses</t>
        </is>
      </c>
      <c r="B24" s="45" t="n"/>
      <c r="C24" s="46" t="n"/>
      <c r="D24" s="46" t="n"/>
    </row>
    <row r="25" ht="18" customHeight="1">
      <c r="A25" s="49" t="inlineStr">
        <is>
          <t>Administrative expenses (from Annexure C)</t>
        </is>
      </c>
      <c r="B25" s="33" t="inlineStr">
        <is>
          <t>27.00</t>
        </is>
      </c>
      <c r="C25" s="50">
        <f>'14_Admin_Selling'!C34</f>
        <v/>
      </c>
      <c r="D25" s="50">
        <f>'14_Admin_Selling'!D34</f>
        <v/>
      </c>
    </row>
    <row r="26" ht="22" customHeight="1">
      <c r="A26" s="44" t="inlineStr">
        <is>
          <t>28.00  Selling and distribution expenses</t>
        </is>
      </c>
      <c r="B26" s="45" t="n"/>
      <c r="C26" s="46" t="n"/>
      <c r="D26" s="46" t="n"/>
    </row>
    <row r="27" ht="18" customHeight="1">
      <c r="A27" s="49" t="inlineStr">
        <is>
          <t>Selling and distribution expenses (from Annexure C)</t>
        </is>
      </c>
      <c r="B27" s="33" t="inlineStr">
        <is>
          <t>28.00</t>
        </is>
      </c>
      <c r="C27" s="50">
        <f>'14_Admin_Selling'!C53</f>
        <v/>
      </c>
      <c r="D27" s="50">
        <f>'14_Admin_Selling'!D53</f>
        <v/>
      </c>
    </row>
    <row r="28" ht="22" customHeight="1">
      <c r="A28" s="44" t="inlineStr">
        <is>
          <t>29.00  Finance costs</t>
        </is>
      </c>
      <c r="B28" s="45" t="n"/>
      <c r="C28" s="46" t="n"/>
      <c r="D28" s="46" t="n"/>
    </row>
    <row r="29" ht="18" customHeight="1">
      <c r="A29" s="49" t="inlineStr">
        <is>
          <t>Interest on long-term borrowings</t>
        </is>
      </c>
      <c r="B29" s="33" t="n"/>
      <c r="C29" s="63" t="n"/>
      <c r="D29" s="64" t="n"/>
    </row>
    <row r="30" ht="18" customHeight="1">
      <c r="A30" s="49" t="inlineStr">
        <is>
          <t>Interest on short-term borrowings / CC / LTR</t>
        </is>
      </c>
      <c r="B30" s="33" t="n"/>
      <c r="C30" s="63" t="n"/>
      <c r="D30" s="64" t="n"/>
    </row>
    <row r="31" ht="18" customHeight="1">
      <c r="A31" s="49" t="inlineStr">
        <is>
          <t>Interest on lease liabilities (IFRS 16)</t>
        </is>
      </c>
      <c r="B31" s="33" t="n"/>
      <c r="C31" s="63" t="n"/>
      <c r="D31" s="64" t="n"/>
    </row>
    <row r="32" ht="18" customHeight="1">
      <c r="A32" s="49" t="inlineStr">
        <is>
          <t>Bank charges and commission (finance)</t>
        </is>
      </c>
      <c r="B32" s="33" t="n"/>
      <c r="C32" s="63" t="n"/>
      <c r="D32" s="64" t="n"/>
    </row>
    <row r="33" ht="18" customHeight="1">
      <c r="A33" s="49" t="inlineStr">
        <is>
          <t>Foreign exchange loss (if any)</t>
        </is>
      </c>
      <c r="B33" s="33" t="n"/>
      <c r="C33" s="63" t="n"/>
      <c r="D33" s="64" t="n"/>
    </row>
    <row r="34" ht="18" customHeight="1">
      <c r="A34" s="44" t="inlineStr">
        <is>
          <t>Total finance costs</t>
        </is>
      </c>
      <c r="B34" s="6" t="inlineStr">
        <is>
          <t>29.00</t>
        </is>
      </c>
      <c r="C34" s="55">
        <f>C29+C30+C31+C32+C33</f>
        <v/>
      </c>
      <c r="D34" s="55">
        <f>D29+D30+D31+D32+D33</f>
        <v/>
      </c>
    </row>
    <row r="35" ht="22" customHeight="1">
      <c r="A35" s="44" t="inlineStr">
        <is>
          <t>30.00  Finance income</t>
        </is>
      </c>
      <c r="B35" s="45" t="n"/>
      <c r="C35" s="46" t="n"/>
      <c r="D35" s="46" t="n"/>
    </row>
    <row r="36" ht="18" customHeight="1">
      <c r="A36" s="49" t="inlineStr">
        <is>
          <t>Interest income (if classified as finance income rather than other income)</t>
        </is>
      </c>
      <c r="B36" s="33" t="inlineStr">
        <is>
          <t>30.00</t>
        </is>
      </c>
      <c r="C36" s="63" t="n"/>
      <c r="D36" s="64" t="n"/>
    </row>
    <row r="37" ht="22" customHeight="1">
      <c r="A37" s="44" t="inlineStr">
        <is>
          <t>31.00  Contribution to WPPF</t>
        </is>
      </c>
      <c r="B37" s="45" t="n"/>
      <c r="C37" s="46" t="n"/>
      <c r="D37" s="46" t="n"/>
    </row>
    <row r="38" ht="18" customHeight="1">
      <c r="A38" s="49" t="inlineStr">
        <is>
          <t>WPPF (from Annexure D)</t>
        </is>
      </c>
      <c r="B38" s="33" t="inlineStr">
        <is>
          <t>31.00</t>
        </is>
      </c>
      <c r="C38" s="50">
        <f>'15_Tax_WPPF'!C14</f>
        <v/>
      </c>
      <c r="D38" s="50">
        <f>'15_Tax_WPPF'!D14</f>
        <v/>
      </c>
    </row>
    <row r="39" ht="22" customHeight="1">
      <c r="A39" s="44" t="inlineStr">
        <is>
          <t>32.00  Income tax expense</t>
        </is>
      </c>
      <c r="B39" s="45" t="n"/>
      <c r="C39" s="46" t="n"/>
      <c r="D39" s="46" t="n"/>
    </row>
    <row r="40" ht="18" customHeight="1">
      <c r="A40" s="49" t="inlineStr">
        <is>
          <t>Current tax (from Annexure D)</t>
        </is>
      </c>
      <c r="B40" s="33" t="n"/>
      <c r="C40" s="50">
        <f>'15_Tax_WPPF'!C25</f>
        <v/>
      </c>
      <c r="D40" s="50">
        <f>'15_Tax_WPPF'!D25</f>
        <v/>
      </c>
    </row>
    <row r="41" ht="18" customHeight="1">
      <c r="A41" s="49" t="inlineStr">
        <is>
          <t>Deferred tax expense / (income) (from Annexure D)</t>
        </is>
      </c>
      <c r="B41" s="33" t="n"/>
      <c r="C41" s="50">
        <f>'15_Tax_WPPF'!C35</f>
        <v/>
      </c>
      <c r="D41" s="50">
        <f>'15_Tax_WPPF'!D35</f>
        <v/>
      </c>
    </row>
    <row r="42" ht="18" customHeight="1">
      <c r="A42" s="44" t="inlineStr">
        <is>
          <t>Total income tax expense</t>
        </is>
      </c>
      <c r="B42" s="6" t="inlineStr">
        <is>
          <t>32.00</t>
        </is>
      </c>
      <c r="C42" s="55">
        <f>C40+C41</f>
        <v/>
      </c>
      <c r="D42" s="55">
        <f>D40+D41</f>
        <v/>
      </c>
    </row>
    <row r="43" ht="22" customHeight="1">
      <c r="A43" s="44" t="inlineStr">
        <is>
          <t>33.00  Basic earnings per share (IAS 33)</t>
        </is>
      </c>
      <c r="B43" s="45" t="n"/>
      <c r="C43" s="46" t="n"/>
      <c r="D43" s="46" t="n"/>
    </row>
    <row r="44" ht="18" customHeight="1">
      <c r="A44" s="49" t="inlineStr">
        <is>
          <t>Profit attributable to ordinary shareholders (auto from SOPL — patched)</t>
        </is>
      </c>
      <c r="B44" s="33" t="n"/>
      <c r="C44" s="51">
        <f>05_SOPL!C23</f>
        <v/>
      </c>
      <c r="D44" s="51">
        <f>05_SOPL!D23</f>
        <v/>
      </c>
    </row>
    <row r="45" ht="18" customHeight="1">
      <c r="A45" s="49" t="inlineStr">
        <is>
          <t>Weighted average number of ordinary shares (INK)</t>
        </is>
      </c>
      <c r="B45" s="33" t="n"/>
      <c r="C45" s="63" t="n"/>
      <c r="D45" s="64" t="n"/>
    </row>
    <row r="46" ht="18" customHeight="1">
      <c r="A46" s="44" t="inlineStr">
        <is>
          <t>Basic EPS (Taka)</t>
        </is>
      </c>
      <c r="B46" s="6" t="inlineStr">
        <is>
          <t>33.00</t>
        </is>
      </c>
      <c r="C46" s="74">
        <f>IF(C45=0,"",C44/C45)</f>
        <v/>
      </c>
      <c r="D46" s="74">
        <f>IF(D45=0,"",D44/D45)</f>
        <v/>
      </c>
    </row>
  </sheetData>
  <mergeCells count="6">
    <mergeCell ref="A1:D1"/>
    <mergeCell ref="A5:D5"/>
    <mergeCell ref="A8:D8"/>
    <mergeCell ref="A6:D6"/>
    <mergeCell ref="A4:D4"/>
    <mergeCell ref="A2:D2"/>
  </mergeCells>
  <pageMargins left="0.5" right="0.5" top="0.7" bottom="0.7" header="0.3" footer="0.3"/>
  <pageSetup orientation="portrait" paperSize="9" fitToHeight="0" fitToWidth="1"/>
  <headerFooter>
    <oddHeader>&amp;LRahman Anis &amp; Co._x000a_Chartered Accountants&amp;RModern Pharmaceuticals Limited_x000a_Year ended 30 June 2026</oddHeader>
    <oddFooter>&amp;LConfidential — Statutory audit working / FS pack&amp;CPage &amp;P of &amp;N&amp;RNotes P&amp;L</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tabColor rgb="001B365D"/>
    <outlinePr summaryBelow="1" summaryRight="1"/>
    <pageSetUpPr fitToPage="1"/>
  </sheetPr>
  <dimension ref="A1:E47"/>
  <sheetViews>
    <sheetView showGridLines="0" zoomScale="100" workbookViewId="0">
      <selection activeCell="A1" sqref="A1"/>
    </sheetView>
  </sheetViews>
  <sheetFormatPr baseColWidth="8" defaultRowHeight="15"/>
  <cols>
    <col width="56" customWidth="1" min="1" max="1"/>
    <col width="14" customWidth="1" min="2" max="2"/>
    <col width="22" customWidth="1" min="3" max="3"/>
    <col width="24" customWidth="1" min="4" max="4"/>
    <col width="28" customWidth="1" min="5" max="5"/>
  </cols>
  <sheetData>
    <row r="1" ht="22" customHeight="1">
      <c r="A1" s="1" t="inlineStr">
        <is>
          <t>RAHMAN ANIS &amp; CO.</t>
        </is>
      </c>
    </row>
    <row r="2" ht="16" customHeight="1">
      <c r="A2" s="3" t="inlineStr">
        <is>
          <t>Chartered Accountants</t>
        </is>
      </c>
    </row>
    <row r="3" ht="8" customHeight="1"/>
    <row r="4" ht="20" customHeight="1">
      <c r="A4" s="30" t="inlineStr">
        <is>
          <t>Modern Pharmaceuticals Limited</t>
        </is>
      </c>
    </row>
    <row r="5" ht="18" customHeight="1">
      <c r="A5" s="2" t="inlineStr">
        <is>
          <t>Notes to the financial statements (Notes 34–39)</t>
        </is>
      </c>
    </row>
    <row r="6" ht="16" customHeight="1">
      <c r="A6" s="31" t="inlineStr">
        <is>
          <t>For the year ended 30 June 2026</t>
        </is>
      </c>
    </row>
    <row r="7" ht="6" customHeight="1">
      <c r="A7" s="32" t="n"/>
      <c r="B7" s="32" t="n"/>
      <c r="C7" s="32" t="n"/>
      <c r="D7" s="32" t="n"/>
      <c r="E7" s="32" t="n"/>
    </row>
    <row r="8">
      <c r="A8" s="41" t="inlineStr">
        <is>
          <t>Colour key:  YELLOW = 30 June 2026 INK (type amount)    BLUE = 30 June 2025 last year audited comparative    GREEN = auto formula (do not type)</t>
        </is>
      </c>
    </row>
    <row r="9" ht="42" customHeight="1">
      <c r="A9" s="6" t="inlineStr">
        <is>
          <t>Particulars</t>
        </is>
      </c>
      <c r="B9" s="6" t="inlineStr">
        <is>
          <t>Notes</t>
        </is>
      </c>
      <c r="C9" s="42" t="inlineStr">
        <is>
          <t>30 June 2026
Taka
(INK — fill)</t>
        </is>
      </c>
      <c r="D9" s="43" t="inlineStr">
        <is>
          <t>30 June 2025
Taka
(Last year audited)</t>
        </is>
      </c>
      <c r="E9" s="6" t="inlineStr">
        <is>
          <t>Remarks / name of party</t>
        </is>
      </c>
    </row>
    <row r="10" ht="22" customHeight="1">
      <c r="A10" s="44" t="inlineStr">
        <is>
          <t>34.00  Related party disclosures (IAS 24)</t>
        </is>
      </c>
      <c r="B10" s="45" t="n"/>
      <c r="C10" s="46" t="n"/>
      <c r="D10" s="46" t="n"/>
      <c r="E10" s="15" t="n"/>
    </row>
    <row r="11" ht="18" customHeight="1">
      <c r="A11" s="47" t="inlineStr">
        <is>
          <t>Name of related party / nature of relationship (INK names in col E)</t>
        </is>
      </c>
      <c r="B11" s="9" t="n"/>
      <c r="C11" s="48" t="n"/>
      <c r="D11" s="48" t="n"/>
      <c r="E11" s="75" t="n"/>
    </row>
    <row r="12" ht="18" customHeight="1">
      <c r="A12" s="49" t="inlineStr">
        <is>
          <t>Directors' remuneration (also in admin)</t>
        </is>
      </c>
      <c r="B12" s="33" t="n"/>
      <c r="C12" s="63" t="n"/>
      <c r="D12" s="64" t="n"/>
      <c r="E12" s="76" t="n"/>
    </row>
    <row r="13" ht="18" customHeight="1">
      <c r="A13" s="49" t="inlineStr">
        <is>
          <t>Sale of goods to related party</t>
        </is>
      </c>
      <c r="B13" s="33" t="n"/>
      <c r="C13" s="63" t="n"/>
      <c r="D13" s="64" t="n"/>
      <c r="E13" s="76" t="n"/>
    </row>
    <row r="14" ht="18" customHeight="1">
      <c r="A14" s="49" t="inlineStr">
        <is>
          <t>Purchase of goods / services from related party</t>
        </is>
      </c>
      <c r="B14" s="33" t="n"/>
      <c r="C14" s="63" t="n"/>
      <c r="D14" s="64" t="n"/>
      <c r="E14" s="76" t="n"/>
    </row>
    <row r="15" ht="18" customHeight="1">
      <c r="A15" s="49" t="inlineStr">
        <is>
          <t>Loan to / (from) related party — movement / closing</t>
        </is>
      </c>
      <c r="B15" s="33" t="n"/>
      <c r="C15" s="63" t="n"/>
      <c r="D15" s="64" t="n"/>
      <c r="E15" s="76" t="n"/>
    </row>
    <row r="16" ht="18" customHeight="1">
      <c r="A16" s="49" t="inlineStr">
        <is>
          <t>Guarantee given to / received from related party</t>
        </is>
      </c>
      <c r="B16" s="33" t="n"/>
      <c r="C16" s="63" t="n"/>
      <c r="D16" s="64" t="n"/>
      <c r="E16" s="76" t="n"/>
    </row>
    <row r="17" ht="18" customHeight="1">
      <c r="A17" s="49" t="inlineStr">
        <is>
          <t>Key management personnel compensation (other)</t>
        </is>
      </c>
      <c r="B17" s="33" t="n"/>
      <c r="C17" s="63" t="n"/>
      <c r="D17" s="64" t="n"/>
      <c r="E17" s="76" t="n"/>
    </row>
    <row r="18" ht="18" customHeight="1">
      <c r="A18" s="49" t="inlineStr">
        <is>
          <t>Other related party transaction</t>
        </is>
      </c>
      <c r="B18" s="33" t="n"/>
      <c r="C18" s="63" t="n"/>
      <c r="D18" s="64" t="n"/>
      <c r="E18" s="76" t="n"/>
    </row>
    <row r="19" ht="8" customHeight="1">
      <c r="A19" s="56" t="n"/>
      <c r="B19" s="57" t="n"/>
    </row>
    <row r="20" ht="22" customHeight="1">
      <c r="A20" s="44" t="inlineStr">
        <is>
          <t>35.00  Contingent liabilities and commitments</t>
        </is>
      </c>
      <c r="B20" s="45" t="n"/>
      <c r="C20" s="46" t="n"/>
      <c r="D20" s="46" t="n"/>
    </row>
    <row r="21" ht="18" customHeight="1">
      <c r="A21" s="49" t="inlineStr">
        <is>
          <t>Bank guarantee outstanding</t>
        </is>
      </c>
      <c r="B21" s="33" t="n"/>
      <c r="C21" s="63" t="n"/>
      <c r="D21" s="64" t="n"/>
      <c r="E21" s="76" t="n"/>
    </row>
    <row r="22" ht="18" customHeight="1">
      <c r="A22" s="49" t="inlineStr">
        <is>
          <t>L/C (documentary credit) outstanding</t>
        </is>
      </c>
      <c r="B22" s="33" t="n"/>
      <c r="C22" s="63" t="n"/>
      <c r="D22" s="64" t="n"/>
      <c r="E22" s="76" t="n"/>
    </row>
    <row r="23" ht="18" customHeight="1">
      <c r="A23" s="49" t="inlineStr">
        <is>
          <t>Pending income-tax / VAT assessments (if any, quantify)</t>
        </is>
      </c>
      <c r="B23" s="33" t="n"/>
      <c r="C23" s="63" t="n"/>
      <c r="D23" s="64" t="n"/>
      <c r="E23" s="76" t="n"/>
    </row>
    <row r="24" ht="18" customHeight="1">
      <c r="A24" s="49" t="inlineStr">
        <is>
          <t>Legal cases — claim amount</t>
        </is>
      </c>
      <c r="B24" s="33" t="n"/>
      <c r="C24" s="63" t="n"/>
      <c r="D24" s="64" t="n"/>
      <c r="E24" s="76" t="n"/>
    </row>
    <row r="25" ht="18" customHeight="1">
      <c r="A25" s="49" t="inlineStr">
        <is>
          <t>Capital expenditure commitment (contracted)</t>
        </is>
      </c>
      <c r="B25" s="33" t="n"/>
      <c r="C25" s="63" t="n"/>
      <c r="D25" s="64" t="n"/>
      <c r="E25" s="76" t="n"/>
    </row>
    <row r="26" ht="18" customHeight="1">
      <c r="A26" s="49" t="inlineStr">
        <is>
          <t>Other contingent liability</t>
        </is>
      </c>
      <c r="B26" s="33" t="n"/>
      <c r="C26" s="63" t="n"/>
      <c r="D26" s="64" t="n"/>
      <c r="E26" s="76" t="n"/>
    </row>
    <row r="27" ht="8" customHeight="1">
      <c r="A27" s="56" t="n"/>
      <c r="B27" s="57" t="n"/>
    </row>
    <row r="28" ht="22" customHeight="1">
      <c r="A28" s="44" t="inlineStr">
        <is>
          <t>36.00  Number of employees</t>
        </is>
      </c>
      <c r="B28" s="45" t="n"/>
      <c r="C28" s="46" t="n"/>
      <c r="D28" s="46" t="n"/>
    </row>
    <row r="29" ht="18" customHeight="1">
      <c r="A29" s="49" t="inlineStr">
        <is>
          <t>Number of employees at year end drawing Tk. 3,000 or more per month (INK headcount — not Taka)</t>
        </is>
      </c>
      <c r="B29" s="33" t="n"/>
      <c r="C29" s="77" t="n"/>
      <c r="D29" s="78" t="n"/>
    </row>
    <row r="30" ht="18" customHeight="1">
      <c r="A30" s="49" t="inlineStr">
        <is>
          <t>Number of employees at year end drawing less than Tk. 3,000 per month</t>
        </is>
      </c>
      <c r="B30" s="33" t="n"/>
      <c r="C30" s="77" t="n"/>
      <c r="D30" s="78" t="n"/>
    </row>
    <row r="31" ht="8" customHeight="1">
      <c r="A31" s="56" t="n"/>
      <c r="B31" s="57" t="n"/>
    </row>
    <row r="32" ht="22" customHeight="1">
      <c r="A32" s="44" t="inlineStr">
        <is>
          <t>37.00  Financial risk management (IFRS 7) — narrative; quantify in yellow if needed</t>
        </is>
      </c>
      <c r="B32" s="45" t="n"/>
      <c r="C32" s="46" t="n"/>
      <c r="D32" s="46" t="n"/>
    </row>
    <row r="33" ht="28" customHeight="1">
      <c r="A33" s="79" t="inlineStr">
        <is>
          <t>Credit risk: arises principally from trade receivables. The Company has a credit policy; exposure is monitored continuously.</t>
        </is>
      </c>
    </row>
    <row r="34" ht="28" customHeight="1">
      <c r="A34" s="79" t="inlineStr">
        <is>
          <t>Liquidity risk: the Company monitors cash flow forecasts and bank facilities to ensure sufficient liquidity.</t>
        </is>
      </c>
    </row>
    <row r="35" ht="28" customHeight="1">
      <c r="A35" s="79" t="inlineStr">
        <is>
          <t>Market / interest-rate risk: borrowings at variable rates expose the Company to interest-rate risk.</t>
        </is>
      </c>
    </row>
    <row r="36" ht="28" customHeight="1">
      <c r="A36" s="79" t="inlineStr">
        <is>
          <t>Foreign-currency risk: imports of raw/packing materials and any export sales create FX exposure.</t>
        </is>
      </c>
    </row>
    <row r="37" ht="28" customHeight="1">
      <c r="A37" s="79" t="inlineStr">
        <is>
          <t>Capital management: the Board's policy is to maintain a strong capital base (share capital + retained earnings).</t>
        </is>
      </c>
    </row>
    <row r="39" ht="22" customHeight="1">
      <c r="A39" s="44" t="inlineStr">
        <is>
          <t>38.00  Events after the reporting period</t>
        </is>
      </c>
      <c r="B39" s="45" t="n"/>
      <c r="C39" s="46" t="n"/>
      <c r="D39" s="46" t="n"/>
    </row>
    <row r="40">
      <c r="A40" s="80" t="inlineStr">
        <is>
          <t>There is no adjusting event after the reporting period that requires adjustment to the financial statements. Non-adjusting events, if any, are: ________________________________________________ [INK narrative]. Subsequent dividend, if declared after 30 June 2026, is a non-adjusting event (IAS 10).</t>
        </is>
      </c>
    </row>
    <row r="41"/>
    <row r="42"/>
    <row r="44" ht="22" customHeight="1">
      <c r="A44" s="44" t="inlineStr">
        <is>
          <t>39.00  Authorisation of the financial statements</t>
        </is>
      </c>
      <c r="B44" s="45" t="n"/>
      <c r="C44" s="46" t="n"/>
      <c r="D44" s="46" t="n"/>
    </row>
    <row r="45">
      <c r="A45" s="80" t="inlineStr">
        <is>
          <t>These financial statements were authorised for issue by the Board of Directors of Modern Pharmaceuticals Limited on ____________________.  Company Secretary / CFO to confirm minutes reference.</t>
        </is>
      </c>
    </row>
    <row r="46"/>
    <row r="47"/>
  </sheetData>
  <mergeCells count="13">
    <mergeCell ref="A34:E34"/>
    <mergeCell ref="A35:E35"/>
    <mergeCell ref="A4:E4"/>
    <mergeCell ref="A2:E2"/>
    <mergeCell ref="A33:E33"/>
    <mergeCell ref="A40:E42"/>
    <mergeCell ref="A1:E1"/>
    <mergeCell ref="A5:E5"/>
    <mergeCell ref="A37:E37"/>
    <mergeCell ref="A36:E36"/>
    <mergeCell ref="A8:E8"/>
    <mergeCell ref="A45:E47"/>
    <mergeCell ref="A6:E6"/>
  </mergeCells>
  <pageMargins left="0.5" right="0.5" top="0.7" bottom="0.7" header="0.3" footer="0.3"/>
  <pageSetup orientation="portrait" paperSize="9" fitToHeight="0" fitToWidth="1"/>
  <headerFooter>
    <oddHeader>&amp;LRahman Anis &amp; Co._x000a_Chartered Accountants&amp;RModern Pharmaceuticals Limited_x000a_Year ended 30 June 2026</oddHeader>
    <oddFooter>&amp;LConfidential — Statutory audit working / FS pack&amp;CPage &amp;P of &amp;N&amp;ROther notes</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tabColor rgb="001B365D"/>
    <outlinePr summaryBelow="1" summaryRight="1"/>
    <pageSetUpPr fitToPage="1"/>
  </sheetPr>
  <dimension ref="A1:J50"/>
  <sheetViews>
    <sheetView showGridLines="0" zoomScale="100" workbookViewId="0">
      <selection activeCell="A1" sqref="A1"/>
    </sheetView>
  </sheetViews>
  <sheetFormatPr baseColWidth="8" defaultRowHeight="15"/>
  <cols>
    <col width="32"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ht="22" customHeight="1">
      <c r="A1" s="1" t="inlineStr">
        <is>
          <t>RAHMAN ANIS &amp; CO.</t>
        </is>
      </c>
    </row>
    <row r="2" ht="16" customHeight="1">
      <c r="A2" s="3" t="inlineStr">
        <is>
          <t>Chartered Accountants</t>
        </is>
      </c>
    </row>
    <row r="3" ht="8" customHeight="1"/>
    <row r="4" ht="20" customHeight="1">
      <c r="A4" s="30" t="inlineStr">
        <is>
          <t>Modern Pharmaceuticals Limited</t>
        </is>
      </c>
    </row>
    <row r="5" ht="18" customHeight="1">
      <c r="A5" s="2" t="inlineStr">
        <is>
          <t>Annexure A — Schedule of Property, Plant and Equipment</t>
        </is>
      </c>
    </row>
    <row r="6" ht="16" customHeight="1">
      <c r="A6" s="31" t="inlineStr">
        <is>
          <t>As at and for the year ended 30 June 2026</t>
        </is>
      </c>
    </row>
    <row r="7" ht="6" customHeight="1">
      <c r="A7" s="32" t="n"/>
      <c r="B7" s="32" t="n"/>
      <c r="C7" s="32" t="n"/>
      <c r="D7" s="32" t="n"/>
      <c r="E7" s="32" t="n"/>
      <c r="F7" s="32" t="n"/>
      <c r="G7" s="32" t="n"/>
      <c r="H7" s="32" t="n"/>
      <c r="I7" s="32" t="n"/>
      <c r="J7" s="32" t="n"/>
    </row>
    <row r="8">
      <c r="A8" s="41" t="inlineStr">
        <is>
          <t>Colour key:  YELLOW = 30 June 2026 INK (type amount)    BLUE = 30 June 2025 last year audited comparative    GREEN = auto formula (do not type)</t>
        </is>
      </c>
    </row>
    <row r="10" ht="36" customHeight="1">
      <c r="A10" s="6" t="inlineStr">
        <is>
          <t>Particulars</t>
        </is>
      </c>
      <c r="B10" s="81" t="inlineStr">
        <is>
          <t>Land &amp; land development</t>
        </is>
      </c>
      <c r="C10" s="81" t="inlineStr">
        <is>
          <t>Building &amp; civil construction</t>
        </is>
      </c>
      <c r="D10" s="81" t="inlineStr">
        <is>
          <t>Plant &amp; machinery</t>
        </is>
      </c>
      <c r="E10" s="81" t="inlineStr">
        <is>
          <t>Laboratory &amp; factory equipment</t>
        </is>
      </c>
      <c r="F10" s="81" t="inlineStr">
        <is>
          <t>Furniture &amp; fixtures</t>
        </is>
      </c>
      <c r="G10" s="81" t="inlineStr">
        <is>
          <t>Office equipment</t>
        </is>
      </c>
      <c r="H10" s="81" t="inlineStr">
        <is>
          <t>Computer &amp; IT equipment</t>
        </is>
      </c>
      <c r="I10" s="81" t="inlineStr">
        <is>
          <t>Motor vehicles</t>
        </is>
      </c>
      <c r="J10" s="82" t="inlineStr">
        <is>
          <t>Total</t>
        </is>
      </c>
    </row>
    <row r="11">
      <c r="A11" s="68" t="inlineStr">
        <is>
          <t>A. Cost</t>
        </is>
      </c>
      <c r="B11" s="46" t="n"/>
      <c r="C11" s="46" t="n"/>
      <c r="D11" s="46" t="n"/>
      <c r="E11" s="46" t="n"/>
      <c r="F11" s="46" t="n"/>
      <c r="G11" s="46" t="n"/>
      <c r="H11" s="46" t="n"/>
      <c r="I11" s="46" t="n"/>
      <c r="J11" s="46" t="n"/>
    </row>
    <row r="12">
      <c r="A12" s="13" t="inlineStr">
        <is>
          <t>Opening balance as at 01 July 2025 (last year audited closing)</t>
        </is>
      </c>
      <c r="B12" s="64" t="n"/>
      <c r="C12" s="64" t="n"/>
      <c r="D12" s="64" t="n"/>
      <c r="E12" s="64" t="n"/>
      <c r="F12" s="64" t="n"/>
      <c r="G12" s="64" t="n"/>
      <c r="H12" s="64" t="n"/>
      <c r="I12" s="64" t="n"/>
      <c r="J12" s="66">
        <f>SUM(B12:I12)</f>
        <v/>
      </c>
    </row>
    <row r="13">
      <c r="A13" s="13" t="inlineStr">
        <is>
          <t>Add: Addition during the year (INK)</t>
        </is>
      </c>
      <c r="B13" s="63" t="n"/>
      <c r="C13" s="63" t="n"/>
      <c r="D13" s="63" t="n"/>
      <c r="E13" s="63" t="n"/>
      <c r="F13" s="63" t="n"/>
      <c r="G13" s="63" t="n"/>
      <c r="H13" s="63" t="n"/>
      <c r="I13" s="63" t="n"/>
      <c r="J13" s="66">
        <f>SUM(B13:I13)</f>
        <v/>
      </c>
    </row>
    <row r="14">
      <c r="A14" s="13" t="inlineStr">
        <is>
          <t>Add: Transfer from capital work-in-progress (INK)</t>
        </is>
      </c>
      <c r="B14" s="63" t="n"/>
      <c r="C14" s="63" t="n"/>
      <c r="D14" s="63" t="n"/>
      <c r="E14" s="63" t="n"/>
      <c r="F14" s="63" t="n"/>
      <c r="G14" s="63" t="n"/>
      <c r="H14" s="63" t="n"/>
      <c r="I14" s="63" t="n"/>
      <c r="J14" s="66">
        <f>SUM(B14:I14)</f>
        <v/>
      </c>
    </row>
    <row r="15">
      <c r="A15" s="13" t="inlineStr">
        <is>
          <t>Less: Disposal / adjustment during the year (INK, enter positive)</t>
        </is>
      </c>
      <c r="B15" s="63" t="n"/>
      <c r="C15" s="63" t="n"/>
      <c r="D15" s="63" t="n"/>
      <c r="E15" s="63" t="n"/>
      <c r="F15" s="63" t="n"/>
      <c r="G15" s="63" t="n"/>
      <c r="H15" s="63" t="n"/>
      <c r="I15" s="63" t="n"/>
      <c r="J15" s="66">
        <f>SUM(B15:I15)</f>
        <v/>
      </c>
    </row>
    <row r="16">
      <c r="A16" s="83" t="inlineStr">
        <is>
          <t>Closing balance as at 30 June 2026</t>
        </is>
      </c>
      <c r="B16" s="66">
        <f>B12+B13+B14-B15</f>
        <v/>
      </c>
      <c r="C16" s="66">
        <f>C12+C13+C14-C15</f>
        <v/>
      </c>
      <c r="D16" s="66">
        <f>D12+D13+D14-D15</f>
        <v/>
      </c>
      <c r="E16" s="66">
        <f>E12+E13+E14-E15</f>
        <v/>
      </c>
      <c r="F16" s="66">
        <f>F12+F13+F14-F15</f>
        <v/>
      </c>
      <c r="G16" s="66">
        <f>G12+G13+G14-G15</f>
        <v/>
      </c>
      <c r="H16" s="66">
        <f>H12+H13+H14-H15</f>
        <v/>
      </c>
      <c r="I16" s="66">
        <f>I12+I13+I14-I15</f>
        <v/>
      </c>
      <c r="J16" s="66">
        <f>SUM(B16:I16)</f>
        <v/>
      </c>
    </row>
    <row r="17" ht="8" customHeight="1"/>
    <row r="18">
      <c r="A18" s="68" t="inlineStr">
        <is>
          <t>B. Accumulated depreciation</t>
        </is>
      </c>
      <c r="B18" s="68" t="n"/>
      <c r="C18" s="68" t="n"/>
      <c r="D18" s="68" t="n"/>
      <c r="E18" s="68" t="n"/>
      <c r="F18" s="68" t="n"/>
      <c r="G18" s="68" t="n"/>
      <c r="H18" s="68" t="n"/>
      <c r="I18" s="68" t="n"/>
      <c r="J18" s="68" t="n"/>
    </row>
    <row r="19">
      <c r="A19" s="13" t="inlineStr">
        <is>
          <t>Opening balance as at 01 July 2025 (last year audited closing)</t>
        </is>
      </c>
      <c r="B19" s="64" t="n"/>
      <c r="C19" s="64" t="n"/>
      <c r="D19" s="64" t="n"/>
      <c r="E19" s="64" t="n"/>
      <c r="F19" s="64" t="n"/>
      <c r="G19" s="64" t="n"/>
      <c r="H19" s="64" t="n"/>
      <c r="I19" s="64" t="n"/>
      <c r="J19" s="66">
        <f>SUM(B19:I19)</f>
        <v/>
      </c>
    </row>
    <row r="20">
      <c r="A20" s="13" t="inlineStr">
        <is>
          <t>Add: Charged during the year (INK)</t>
        </is>
      </c>
      <c r="B20" s="63" t="n"/>
      <c r="C20" s="63" t="n"/>
      <c r="D20" s="63" t="n"/>
      <c r="E20" s="63" t="n"/>
      <c r="F20" s="63" t="n"/>
      <c r="G20" s="63" t="n"/>
      <c r="H20" s="63" t="n"/>
      <c r="I20" s="63" t="n"/>
      <c r="J20" s="66">
        <f>SUM(B20:I20)</f>
        <v/>
      </c>
    </row>
    <row r="21">
      <c r="A21" s="13" t="inlineStr">
        <is>
          <t>Less: Adjustment on disposal (INK, enter positive)</t>
        </is>
      </c>
      <c r="B21" s="63" t="n"/>
      <c r="C21" s="63" t="n"/>
      <c r="D21" s="63" t="n"/>
      <c r="E21" s="63" t="n"/>
      <c r="F21" s="63" t="n"/>
      <c r="G21" s="63" t="n"/>
      <c r="H21" s="63" t="n"/>
      <c r="I21" s="63" t="n"/>
      <c r="J21" s="66">
        <f>SUM(B21:I21)</f>
        <v/>
      </c>
    </row>
    <row r="22">
      <c r="A22" s="83" t="inlineStr">
        <is>
          <t>Closing balance as at 30 June 2026</t>
        </is>
      </c>
      <c r="B22" s="66">
        <f>B19+B20-B21</f>
        <v/>
      </c>
      <c r="C22" s="66">
        <f>C19+C20-C21</f>
        <v/>
      </c>
      <c r="D22" s="66">
        <f>D19+D20-D21</f>
        <v/>
      </c>
      <c r="E22" s="66">
        <f>E19+E20-E21</f>
        <v/>
      </c>
      <c r="F22" s="66">
        <f>F19+F20-F21</f>
        <v/>
      </c>
      <c r="G22" s="66">
        <f>G19+G20-G21</f>
        <v/>
      </c>
      <c r="H22" s="66">
        <f>H19+H20-H21</f>
        <v/>
      </c>
      <c r="I22" s="66">
        <f>I19+I20-I21</f>
        <v/>
      </c>
      <c r="J22" s="66">
        <f>SUM(B22:I22)</f>
        <v/>
      </c>
    </row>
    <row r="23" ht="8" customHeight="1"/>
    <row r="24">
      <c r="A24" s="84" t="inlineStr">
        <is>
          <t>C. Written down value</t>
        </is>
      </c>
      <c r="B24" s="84" t="n"/>
      <c r="C24" s="84" t="n"/>
      <c r="D24" s="84" t="n"/>
      <c r="E24" s="84" t="n"/>
      <c r="F24" s="84" t="n"/>
      <c r="G24" s="84" t="n"/>
      <c r="H24" s="84" t="n"/>
      <c r="I24" s="84" t="n"/>
      <c r="J24" s="84" t="n"/>
    </row>
    <row r="25">
      <c r="A25" s="68" t="inlineStr">
        <is>
          <t>As at 30 June 2026 (to SOFP Note 4 / current year)</t>
        </is>
      </c>
      <c r="B25" s="55">
        <f>B16-B22</f>
        <v/>
      </c>
      <c r="C25" s="55">
        <f>C16-C22</f>
        <v/>
      </c>
      <c r="D25" s="55">
        <f>D16-D22</f>
        <v/>
      </c>
      <c r="E25" s="55">
        <f>E16-E22</f>
        <v/>
      </c>
      <c r="F25" s="55">
        <f>F16-F22</f>
        <v/>
      </c>
      <c r="G25" s="55">
        <f>G16-G22</f>
        <v/>
      </c>
      <c r="H25" s="55">
        <f>H16-H22</f>
        <v/>
      </c>
      <c r="I25" s="55">
        <f>I16-I22</f>
        <v/>
      </c>
      <c r="J25" s="55">
        <f>J16-J22</f>
        <v/>
      </c>
    </row>
    <row r="26">
      <c r="A26" s="85" t="inlineStr">
        <is>
          <t>As at 30 June 2025 (last year audited WDV)</t>
        </is>
      </c>
      <c r="B26" s="67">
        <f>B12-B19</f>
        <v/>
      </c>
      <c r="C26" s="67">
        <f>C12-C19</f>
        <v/>
      </c>
      <c r="D26" s="67">
        <f>D12-D19</f>
        <v/>
      </c>
      <c r="E26" s="67">
        <f>E12-E19</f>
        <v/>
      </c>
      <c r="F26" s="67">
        <f>F12-F19</f>
        <v/>
      </c>
      <c r="G26" s="67">
        <f>G12-G19</f>
        <v/>
      </c>
      <c r="H26" s="67">
        <f>H12-H19</f>
        <v/>
      </c>
      <c r="I26" s="67">
        <f>I12-I19</f>
        <v/>
      </c>
      <c r="J26" s="67">
        <f>J12-J19</f>
        <v/>
      </c>
    </row>
    <row r="28">
      <c r="A28" s="35" t="inlineStr">
        <is>
          <t>Allocation of depreciation charge for the year (INK — must equal J20)</t>
        </is>
      </c>
    </row>
    <row r="29">
      <c r="A29" t="inlineStr">
        <is>
          <t>Charged to cost of sales / factory overhead</t>
        </is>
      </c>
      <c r="I29" s="63" t="n"/>
      <c r="J29" s="16" t="n"/>
    </row>
    <row r="30">
      <c r="A30" t="inlineStr">
        <is>
          <t>Charged to administrative expenses</t>
        </is>
      </c>
      <c r="I30" s="63" t="n"/>
      <c r="J30" s="16" t="n"/>
    </row>
    <row r="31">
      <c r="A31" t="inlineStr">
        <is>
          <t>Charged to selling &amp; distribution expenses</t>
        </is>
      </c>
      <c r="I31" s="63" t="n"/>
      <c r="J31" s="16" t="n"/>
    </row>
    <row r="32">
      <c r="A32" t="inlineStr">
        <is>
          <t>Total charge (must = J20)</t>
        </is>
      </c>
      <c r="I32" s="66">
        <f>I29+I30+I31</f>
        <v/>
      </c>
      <c r="J32" s="16" t="n"/>
    </row>
    <row r="33">
      <c r="A33" t="inlineStr">
        <is>
          <t>Difference vs PPE charge J20 (must be NIL)</t>
        </is>
      </c>
      <c r="I33" s="50">
        <f>I32-J20</f>
        <v/>
      </c>
    </row>
    <row r="35">
      <c r="A35" s="35" t="inlineStr">
        <is>
          <t>Accounting rates (disclosure — confirm with client policy)</t>
        </is>
      </c>
    </row>
    <row r="36">
      <c r="A36" s="86" t="inlineStr">
        <is>
          <t>Class</t>
        </is>
      </c>
      <c r="B36" s="86" t="inlineStr">
        <is>
          <t>Typical rate (edit)</t>
        </is>
      </c>
    </row>
    <row r="37">
      <c r="A37" s="87" t="inlineStr">
        <is>
          <t>Land &amp; land development</t>
        </is>
      </c>
      <c r="B37" s="88" t="inlineStr">
        <is>
          <t>Nil</t>
        </is>
      </c>
    </row>
    <row r="38">
      <c r="A38" s="87" t="inlineStr">
        <is>
          <t>Building &amp; civil construction</t>
        </is>
      </c>
      <c r="B38" s="88" t="inlineStr">
        <is>
          <t>2.5% – 10% (straight line / reducing — confirm)</t>
        </is>
      </c>
    </row>
    <row r="39">
      <c r="A39" s="87" t="inlineStr">
        <is>
          <t>Plant &amp; machinery</t>
        </is>
      </c>
      <c r="B39" s="88" t="inlineStr">
        <is>
          <t>10% – 20%</t>
        </is>
      </c>
    </row>
    <row r="40">
      <c r="A40" s="87" t="inlineStr">
        <is>
          <t>Laboratory &amp; factory equipment</t>
        </is>
      </c>
      <c r="B40" s="88" t="inlineStr">
        <is>
          <t>10% – 20%</t>
        </is>
      </c>
    </row>
    <row r="41">
      <c r="A41" s="87" t="inlineStr">
        <is>
          <t>Furniture &amp; fixtures</t>
        </is>
      </c>
      <c r="B41" s="88" t="inlineStr">
        <is>
          <t>10%</t>
        </is>
      </c>
    </row>
    <row r="42">
      <c r="A42" s="87" t="inlineStr">
        <is>
          <t>Office equipment</t>
        </is>
      </c>
      <c r="B42" s="88" t="inlineStr">
        <is>
          <t>10% – 15%</t>
        </is>
      </c>
    </row>
    <row r="43">
      <c r="A43" s="87" t="inlineStr">
        <is>
          <t>Computer &amp; IT equipment</t>
        </is>
      </c>
      <c r="B43" s="88" t="inlineStr">
        <is>
          <t>20% – 30%</t>
        </is>
      </c>
    </row>
    <row r="44">
      <c r="A44" s="87" t="inlineStr">
        <is>
          <t>Motor vehicles</t>
        </is>
      </c>
      <c r="B44" s="88" t="inlineStr">
        <is>
          <t>20%</t>
        </is>
      </c>
    </row>
    <row r="47">
      <c r="A47" s="35" t="inlineStr">
        <is>
          <t>Disposal of PPE (INK — optional detail)</t>
        </is>
      </c>
    </row>
    <row r="48">
      <c r="A48" t="inlineStr">
        <is>
          <t>Sale proceeds</t>
        </is>
      </c>
      <c r="C48" s="63" t="n"/>
    </row>
    <row r="49">
      <c r="A49" t="inlineStr">
        <is>
          <t>WDV of assets sold (cost disposed − dep adjusted)</t>
        </is>
      </c>
      <c r="C49" s="50">
        <f>J15-J21</f>
        <v/>
      </c>
    </row>
    <row r="50">
      <c r="A50" t="inlineStr">
        <is>
          <t>Gain / (loss) on disposal  → other income / expenses</t>
        </is>
      </c>
      <c r="C50" s="50">
        <f>C48-C49</f>
        <v/>
      </c>
    </row>
  </sheetData>
  <mergeCells count="11">
    <mergeCell ref="A1:J1"/>
    <mergeCell ref="A5:J5"/>
    <mergeCell ref="A30:H30"/>
    <mergeCell ref="A8:J8"/>
    <mergeCell ref="A29:B29"/>
    <mergeCell ref="A6:J6"/>
    <mergeCell ref="A29:H29"/>
    <mergeCell ref="A4:J4"/>
    <mergeCell ref="A2:J2"/>
    <mergeCell ref="A32:H32"/>
    <mergeCell ref="A31:H31"/>
  </mergeCells>
  <pageMargins left="0.5" right="0.5" top="0.7" bottom="0.7" header="0.3" footer="0.3"/>
  <pageSetup orientation="landscape" paperSize="9" fitToHeight="0" fitToWidth="1"/>
  <headerFooter>
    <oddHeader>&amp;LRahman Anis &amp; Co._x000a_Chartered Accountants&amp;RModern Pharmaceuticals Limited_x000a_Year ended 30 June 2026</oddHeader>
    <oddFooter>&amp;LConfidential — Statutory audit working / FS pack&amp;CPage &amp;P of &amp;N&amp;RPPE schedule</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tabColor rgb="001B365D"/>
    <outlinePr summaryBelow="1" summaryRight="1"/>
    <pageSetUpPr fitToPage="1"/>
  </sheetPr>
  <dimension ref="A1:D49"/>
  <sheetViews>
    <sheetView showGridLines="0" zoomScale="100" workbookViewId="0">
      <selection activeCell="A1" sqref="A1"/>
    </sheetView>
  </sheetViews>
  <sheetFormatPr baseColWidth="8" defaultRowHeight="15"/>
  <cols>
    <col width="56" customWidth="1" min="1" max="1"/>
    <col width="12" customWidth="1" min="2" max="2"/>
    <col width="22" customWidth="1" min="3" max="3"/>
    <col width="24" customWidth="1" min="4" max="4"/>
  </cols>
  <sheetData>
    <row r="1" ht="22" customHeight="1">
      <c r="A1" s="1" t="inlineStr">
        <is>
          <t>RAHMAN ANIS &amp; CO.</t>
        </is>
      </c>
    </row>
    <row r="2" ht="16" customHeight="1">
      <c r="A2" s="3" t="inlineStr">
        <is>
          <t>Chartered Accountants</t>
        </is>
      </c>
    </row>
    <row r="3" ht="8" customHeight="1"/>
    <row r="4" ht="20" customHeight="1">
      <c r="A4" s="30" t="inlineStr">
        <is>
          <t>Modern Pharmaceuticals Limited</t>
        </is>
      </c>
    </row>
    <row r="5" ht="18" customHeight="1">
      <c r="A5" s="2" t="inlineStr">
        <is>
          <t>Annexure B — Cost of sales and factory overhead</t>
        </is>
      </c>
    </row>
    <row r="6" ht="16" customHeight="1">
      <c r="A6" s="31" t="inlineStr">
        <is>
          <t>For the year ended 30 June 2026</t>
        </is>
      </c>
    </row>
    <row r="7" ht="6" customHeight="1">
      <c r="A7" s="32" t="n"/>
      <c r="B7" s="32" t="n"/>
      <c r="C7" s="32" t="n"/>
      <c r="D7" s="32" t="n"/>
    </row>
    <row r="8">
      <c r="A8" s="41" t="inlineStr">
        <is>
          <t>Colour key:  YELLOW = 30 June 2026 INK (type amount)    BLUE = 30 June 2025 last year audited comparative    GREEN = auto formula (do not type)</t>
        </is>
      </c>
    </row>
    <row r="9" ht="42" customHeight="1">
      <c r="A9" s="6" t="inlineStr">
        <is>
          <t>Particulars</t>
        </is>
      </c>
      <c r="B9" s="6" t="inlineStr">
        <is>
          <t>Notes</t>
        </is>
      </c>
      <c r="C9" s="42" t="inlineStr">
        <is>
          <t>30 June 2026
Taka
(INK — fill)</t>
        </is>
      </c>
      <c r="D9" s="43" t="inlineStr">
        <is>
          <t>30 June 2025
Taka
(Last year audited)</t>
        </is>
      </c>
    </row>
    <row r="10" ht="22" customHeight="1">
      <c r="A10" s="44" t="inlineStr">
        <is>
          <t>A. Raw and packing materials consumed</t>
        </is>
      </c>
      <c r="B10" s="45" t="n"/>
      <c r="C10" s="46" t="n"/>
      <c r="D10" s="46" t="n"/>
    </row>
    <row r="11" ht="18" customHeight="1">
      <c r="A11" s="49" t="inlineStr">
        <is>
          <t>Opening stock of raw materials</t>
        </is>
      </c>
      <c r="B11" s="33" t="inlineStr">
        <is>
          <t>9.01</t>
        </is>
      </c>
      <c r="C11" s="63" t="n"/>
      <c r="D11" s="64" t="n"/>
    </row>
    <row r="12" ht="18" customHeight="1">
      <c r="A12" s="49" t="inlineStr">
        <is>
          <t>Add: Purchase of raw materials</t>
        </is>
      </c>
      <c r="B12" s="33" t="n"/>
      <c r="C12" s="63" t="n"/>
      <c r="D12" s="64" t="n"/>
    </row>
    <row r="13" ht="18" customHeight="1">
      <c r="A13" s="89" t="inlineStr">
        <is>
          <t>Raw materials available</t>
        </is>
      </c>
      <c r="B13" s="53" t="n"/>
      <c r="C13" s="54">
        <f>C11+C12</f>
        <v/>
      </c>
      <c r="D13" s="54">
        <f>D11+D12</f>
        <v/>
      </c>
    </row>
    <row r="14" ht="18" customHeight="1">
      <c r="A14" s="49" t="inlineStr">
        <is>
          <t>Less: Closing stock of raw materials</t>
        </is>
      </c>
      <c r="B14" s="33" t="inlineStr">
        <is>
          <t>9.01</t>
        </is>
      </c>
      <c r="C14" s="63" t="n"/>
      <c r="D14" s="64" t="n"/>
    </row>
    <row r="15" ht="18" customHeight="1">
      <c r="A15" s="52" t="inlineStr">
        <is>
          <t>Raw materials consumed</t>
        </is>
      </c>
      <c r="B15" s="53" t="n"/>
      <c r="C15" s="54">
        <f>C13-C14</f>
        <v/>
      </c>
      <c r="D15" s="54">
        <f>D13-D14</f>
        <v/>
      </c>
    </row>
    <row r="16" ht="8" customHeight="1">
      <c r="A16" s="56" t="n"/>
      <c r="B16" s="57" t="n"/>
    </row>
    <row r="17" ht="18" customHeight="1">
      <c r="A17" s="49" t="inlineStr">
        <is>
          <t>Opening stock of packing materials</t>
        </is>
      </c>
      <c r="B17" s="33" t="inlineStr">
        <is>
          <t>9.02</t>
        </is>
      </c>
      <c r="C17" s="63" t="n"/>
      <c r="D17" s="64" t="n"/>
    </row>
    <row r="18" ht="18" customHeight="1">
      <c r="A18" s="49" t="inlineStr">
        <is>
          <t>Add: Purchase of packing materials</t>
        </is>
      </c>
      <c r="B18" s="33" t="n"/>
      <c r="C18" s="63" t="n"/>
      <c r="D18" s="64" t="n"/>
    </row>
    <row r="19" ht="18" customHeight="1">
      <c r="A19" s="89" t="inlineStr">
        <is>
          <t>Packing materials available</t>
        </is>
      </c>
      <c r="B19" s="53" t="n"/>
      <c r="C19" s="54">
        <f>C17+C18</f>
        <v/>
      </c>
      <c r="D19" s="54">
        <f>D17+D18</f>
        <v/>
      </c>
    </row>
    <row r="20" ht="18" customHeight="1">
      <c r="A20" s="49" t="inlineStr">
        <is>
          <t>Less: Closing stock of packing materials</t>
        </is>
      </c>
      <c r="B20" s="33" t="inlineStr">
        <is>
          <t>9.02</t>
        </is>
      </c>
      <c r="C20" s="63" t="n"/>
      <c r="D20" s="64" t="n"/>
    </row>
    <row r="21" ht="18" customHeight="1">
      <c r="A21" s="52" t="inlineStr">
        <is>
          <t>Packing materials consumed</t>
        </is>
      </c>
      <c r="B21" s="53" t="n"/>
      <c r="C21" s="54">
        <f>C19-C20</f>
        <v/>
      </c>
      <c r="D21" s="54">
        <f>D19-D20</f>
        <v/>
      </c>
    </row>
    <row r="22" ht="8" customHeight="1">
      <c r="A22" s="56" t="n"/>
      <c r="B22" s="57" t="n"/>
    </row>
    <row r="23" ht="22" customHeight="1">
      <c r="A23" s="44" t="inlineStr">
        <is>
          <t>B. Factory overhead</t>
        </is>
      </c>
      <c r="B23" s="45" t="n"/>
      <c r="C23" s="46" t="n"/>
      <c r="D23" s="46" t="n"/>
    </row>
    <row r="24" ht="18" customHeight="1">
      <c r="A24" s="49" t="inlineStr">
        <is>
          <t>Factory salaries, wages and overtime</t>
        </is>
      </c>
      <c r="B24" s="33" t="n"/>
      <c r="C24" s="63" t="n"/>
      <c r="D24" s="64" t="n"/>
    </row>
    <row r="25" ht="18" customHeight="1">
      <c r="A25" s="49" t="inlineStr">
        <is>
          <t>Festival bonus — factory</t>
        </is>
      </c>
      <c r="B25" s="33" t="n"/>
      <c r="C25" s="63" t="n"/>
      <c r="D25" s="64" t="n"/>
    </row>
    <row r="26" ht="18" customHeight="1">
      <c r="A26" s="49" t="inlineStr">
        <is>
          <t>Provident fund / gratuity — factory</t>
        </is>
      </c>
      <c r="B26" s="33" t="n"/>
      <c r="C26" s="63" t="n"/>
      <c r="D26" s="64" t="n"/>
    </row>
    <row r="27" ht="18" customHeight="1">
      <c r="A27" s="49" t="inlineStr">
        <is>
          <t>Power, fuel and electricity (factory)</t>
        </is>
      </c>
      <c r="B27" s="33" t="n"/>
      <c r="C27" s="63" t="n"/>
      <c r="D27" s="64" t="n"/>
    </row>
    <row r="28" ht="18" customHeight="1">
      <c r="A28" s="49" t="inlineStr">
        <is>
          <t>Gas, water and generator</t>
        </is>
      </c>
      <c r="B28" s="33" t="n"/>
      <c r="C28" s="63" t="n"/>
      <c r="D28" s="64" t="n"/>
    </row>
    <row r="29" ht="18" customHeight="1">
      <c r="A29" s="49" t="inlineStr">
        <is>
          <t>Repairs and maintenance — plant &amp; machinery</t>
        </is>
      </c>
      <c r="B29" s="33" t="n"/>
      <c r="C29" s="63" t="n"/>
      <c r="D29" s="64" t="n"/>
    </row>
    <row r="30" ht="18" customHeight="1">
      <c r="A30" s="49" t="inlineStr">
        <is>
          <t>Repairs and maintenance — factory building</t>
        </is>
      </c>
      <c r="B30" s="33" t="n"/>
      <c r="C30" s="63" t="n"/>
      <c r="D30" s="64" t="n"/>
    </row>
    <row r="31" ht="18" customHeight="1">
      <c r="A31" s="49" t="inlineStr">
        <is>
          <t>Consumable stores and spares consumed</t>
        </is>
      </c>
      <c r="B31" s="33" t="n"/>
      <c r="C31" s="63" t="n"/>
      <c r="D31" s="64" t="n"/>
    </row>
    <row r="32" ht="18" customHeight="1">
      <c r="A32" s="49" t="inlineStr">
        <is>
          <t>Laboratory and quality control expenses</t>
        </is>
      </c>
      <c r="B32" s="33" t="n"/>
      <c r="C32" s="63" t="n"/>
      <c r="D32" s="64" t="n"/>
    </row>
    <row r="33" ht="18" customHeight="1">
      <c r="A33" s="49" t="inlineStr">
        <is>
          <t>ETP and environmental compliance</t>
        </is>
      </c>
      <c r="B33" s="33" t="n"/>
      <c r="C33" s="63" t="n"/>
      <c r="D33" s="64" t="n"/>
    </row>
    <row r="34" ht="18" customHeight="1">
      <c r="A34" s="49" t="inlineStr">
        <is>
          <t>Factory rent / rates and taxes</t>
        </is>
      </c>
      <c r="B34" s="33" t="n"/>
      <c r="C34" s="63" t="n"/>
      <c r="D34" s="64" t="n"/>
    </row>
    <row r="35" ht="18" customHeight="1">
      <c r="A35" s="49" t="inlineStr">
        <is>
          <t>Insurance — factory</t>
        </is>
      </c>
      <c r="B35" s="33" t="n"/>
      <c r="C35" s="63" t="n"/>
      <c r="D35" s="64" t="n"/>
    </row>
    <row r="36" ht="18" customHeight="1">
      <c r="A36" s="49" t="inlineStr">
        <is>
          <t>Depreciation — factory (link PPE I29)</t>
        </is>
      </c>
      <c r="B36" s="33" t="n"/>
      <c r="C36" s="50">
        <f>'12_PPE_Schedule'!I29</f>
        <v/>
      </c>
      <c r="D36" s="64" t="n"/>
    </row>
    <row r="37" ht="18" customHeight="1">
      <c r="A37" s="49" t="inlineStr">
        <is>
          <t>Other factory overhead</t>
        </is>
      </c>
      <c r="B37" s="33" t="n"/>
      <c r="C37" s="63" t="n"/>
      <c r="D37" s="64" t="n"/>
    </row>
    <row r="38" ht="18" customHeight="1">
      <c r="A38" s="52" t="inlineStr">
        <is>
          <t>Total factory overhead</t>
        </is>
      </c>
      <c r="B38" s="53" t="n"/>
      <c r="C38" s="54">
        <f>SUM(C24:C37)</f>
        <v/>
      </c>
      <c r="D38" s="54">
        <f>SUM(D24:D37)</f>
        <v/>
      </c>
    </row>
    <row r="39" ht="8" customHeight="1">
      <c r="A39" s="56" t="n"/>
      <c r="B39" s="57" t="n"/>
    </row>
    <row r="40" ht="22" customHeight="1">
      <c r="A40" s="44" t="inlineStr">
        <is>
          <t>C. Work-in-process</t>
        </is>
      </c>
      <c r="B40" s="45" t="n"/>
      <c r="C40" s="46" t="n"/>
      <c r="D40" s="46" t="n"/>
    </row>
    <row r="41" ht="18" customHeight="1">
      <c r="A41" s="49" t="inlineStr">
        <is>
          <t>Opening work-in-process</t>
        </is>
      </c>
      <c r="B41" s="33" t="inlineStr">
        <is>
          <t>9.03</t>
        </is>
      </c>
      <c r="C41" s="63" t="n"/>
      <c r="D41" s="64" t="n"/>
    </row>
    <row r="42" ht="18" customHeight="1">
      <c r="A42" s="49" t="inlineStr">
        <is>
          <t>Closing work-in-process</t>
        </is>
      </c>
      <c r="B42" s="33" t="inlineStr">
        <is>
          <t>9.03</t>
        </is>
      </c>
      <c r="C42" s="63" t="n"/>
      <c r="D42" s="64" t="n"/>
    </row>
    <row r="43" ht="8" customHeight="1">
      <c r="A43" s="56" t="n"/>
      <c r="B43" s="57" t="n"/>
    </row>
    <row r="44" ht="18" customHeight="1">
      <c r="A44" s="52" t="inlineStr">
        <is>
          <t>Cost of goods manufactured</t>
        </is>
      </c>
      <c r="B44" s="53" t="n"/>
      <c r="C44" s="54">
        <f>C15+C21+C38+C41-C42</f>
        <v/>
      </c>
      <c r="D44" s="54">
        <f>D15+D21+D38+D41-D42</f>
        <v/>
      </c>
    </row>
    <row r="45" ht="8" customHeight="1">
      <c r="A45" s="56" t="n"/>
      <c r="B45" s="57" t="n"/>
    </row>
    <row r="46" ht="22" customHeight="1">
      <c r="A46" s="44" t="inlineStr">
        <is>
          <t>D. Finished goods</t>
        </is>
      </c>
      <c r="B46" s="45" t="n"/>
      <c r="C46" s="46" t="n"/>
      <c r="D46" s="46" t="n"/>
    </row>
    <row r="47" ht="18" customHeight="1">
      <c r="A47" s="49" t="inlineStr">
        <is>
          <t>Opening stock of finished goods</t>
        </is>
      </c>
      <c r="B47" s="33" t="inlineStr">
        <is>
          <t>9.04</t>
        </is>
      </c>
      <c r="C47" s="63" t="n"/>
      <c r="D47" s="64" t="n"/>
    </row>
    <row r="48" ht="18" customHeight="1">
      <c r="A48" s="49" t="inlineStr">
        <is>
          <t>Closing stock of finished goods</t>
        </is>
      </c>
      <c r="B48" s="33" t="inlineStr">
        <is>
          <t>9.04</t>
        </is>
      </c>
      <c r="C48" s="63" t="n"/>
      <c r="D48" s="64" t="n"/>
    </row>
    <row r="49" ht="18" customHeight="1">
      <c r="A49" s="44" t="inlineStr">
        <is>
          <t>COST OF SALES (to SOPL / Note 25)</t>
        </is>
      </c>
      <c r="B49" s="6" t="n"/>
      <c r="C49" s="55">
        <f>C44+C47-C48</f>
        <v/>
      </c>
      <c r="D49" s="55">
        <f>D44+D47-D48</f>
        <v/>
      </c>
    </row>
  </sheetData>
  <mergeCells count="6">
    <mergeCell ref="A1:D1"/>
    <mergeCell ref="A5:D5"/>
    <mergeCell ref="A8:D8"/>
    <mergeCell ref="A6:D6"/>
    <mergeCell ref="A4:D4"/>
    <mergeCell ref="A2:D2"/>
  </mergeCells>
  <pageMargins left="0.5" right="0.5" top="0.7" bottom="0.7" header="0.3" footer="0.3"/>
  <pageSetup orientation="portrait" paperSize="9" fitToHeight="0" fitToWidth="1"/>
  <headerFooter>
    <oddHeader>&amp;LRahman Anis &amp; Co._x000a_Chartered Accountants&amp;RModern Pharmaceuticals Limited_x000a_Year ended 30 June 2026</oddHeader>
    <oddFooter>&amp;LConfidential — Statutory audit working / FS pack&amp;CPage &amp;P of &amp;N&amp;RCOGS</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tabColor rgb="001B365D"/>
    <outlinePr summaryBelow="1" summaryRight="1"/>
    <pageSetUpPr fitToPage="1"/>
  </sheetPr>
  <dimension ref="A1:D53"/>
  <sheetViews>
    <sheetView showGridLines="0" zoomScale="100" workbookViewId="0">
      <selection activeCell="A1" sqref="A1"/>
    </sheetView>
  </sheetViews>
  <sheetFormatPr baseColWidth="8" defaultRowHeight="15"/>
  <cols>
    <col width="56" customWidth="1" min="1" max="1"/>
    <col width="12" customWidth="1" min="2" max="2"/>
    <col width="22" customWidth="1" min="3" max="3"/>
    <col width="24" customWidth="1" min="4" max="4"/>
  </cols>
  <sheetData>
    <row r="1" ht="22" customHeight="1">
      <c r="A1" s="1" t="inlineStr">
        <is>
          <t>RAHMAN ANIS &amp; CO.</t>
        </is>
      </c>
    </row>
    <row r="2" ht="16" customHeight="1">
      <c r="A2" s="3" t="inlineStr">
        <is>
          <t>Chartered Accountants</t>
        </is>
      </c>
    </row>
    <row r="3" ht="8" customHeight="1"/>
    <row r="4" ht="20" customHeight="1">
      <c r="A4" s="30" t="inlineStr">
        <is>
          <t>Modern Pharmaceuticals Limited</t>
        </is>
      </c>
    </row>
    <row r="5" ht="18" customHeight="1">
      <c r="A5" s="2" t="inlineStr">
        <is>
          <t>Annexure C — Administrative and selling &amp; distribution expenses</t>
        </is>
      </c>
    </row>
    <row r="6" ht="16" customHeight="1">
      <c r="A6" s="31" t="inlineStr">
        <is>
          <t>For the year ended 30 June 2026</t>
        </is>
      </c>
    </row>
    <row r="7" ht="6" customHeight="1">
      <c r="A7" s="32" t="n"/>
      <c r="B7" s="32" t="n"/>
      <c r="C7" s="32" t="n"/>
      <c r="D7" s="32" t="n"/>
    </row>
    <row r="8">
      <c r="A8" s="41" t="inlineStr">
        <is>
          <t>Colour key:  YELLOW = 30 June 2026 INK (type amount)    BLUE = 30 June 2025 last year audited comparative    GREEN = auto formula (do not type)</t>
        </is>
      </c>
    </row>
    <row r="9" ht="42" customHeight="1">
      <c r="A9" s="6" t="inlineStr">
        <is>
          <t>Particulars</t>
        </is>
      </c>
      <c r="B9" s="6" t="inlineStr">
        <is>
          <t>Notes</t>
        </is>
      </c>
      <c r="C9" s="42" t="inlineStr">
        <is>
          <t>30 June 2026
Taka
(INK — fill)</t>
        </is>
      </c>
      <c r="D9" s="43" t="inlineStr">
        <is>
          <t>30 June 2025
Taka
(Last year audited)</t>
        </is>
      </c>
    </row>
    <row r="10" ht="22" customHeight="1">
      <c r="A10" s="44" t="inlineStr">
        <is>
          <t>A. Administrative expenses</t>
        </is>
      </c>
      <c r="B10" s="45" t="n"/>
      <c r="C10" s="46" t="n"/>
      <c r="D10" s="46" t="n"/>
    </row>
    <row r="11" ht="18" customHeight="1">
      <c r="A11" s="49" t="inlineStr">
        <is>
          <t>Directors' remuneration</t>
        </is>
      </c>
      <c r="B11" s="33" t="n"/>
      <c r="C11" s="63" t="n"/>
      <c r="D11" s="64" t="n"/>
    </row>
    <row r="12" ht="18" customHeight="1">
      <c r="A12" s="49" t="inlineStr">
        <is>
          <t>Salaries, wages and allowances — admin</t>
        </is>
      </c>
      <c r="B12" s="33" t="n"/>
      <c r="C12" s="63" t="n"/>
      <c r="D12" s="64" t="n"/>
    </row>
    <row r="13" ht="18" customHeight="1">
      <c r="A13" s="49" t="inlineStr">
        <is>
          <t>Festival bonus — admin</t>
        </is>
      </c>
      <c r="B13" s="33" t="n"/>
      <c r="C13" s="63" t="n"/>
      <c r="D13" s="64" t="n"/>
    </row>
    <row r="14" ht="18" customHeight="1">
      <c r="A14" s="49" t="inlineStr">
        <is>
          <t>Provident fund / gratuity — admin</t>
        </is>
      </c>
      <c r="B14" s="33" t="n"/>
      <c r="C14" s="63" t="n"/>
      <c r="D14" s="64" t="n"/>
    </row>
    <row r="15" ht="18" customHeight="1">
      <c r="A15" s="49" t="inlineStr">
        <is>
          <t>Office rent</t>
        </is>
      </c>
      <c r="B15" s="33" t="n"/>
      <c r="C15" s="63" t="n"/>
      <c r="D15" s="64" t="n"/>
    </row>
    <row r="16" ht="18" customHeight="1">
      <c r="A16" s="49" t="inlineStr">
        <is>
          <t>Rates, taxes and licence fees (excluding income tax)</t>
        </is>
      </c>
      <c r="B16" s="33" t="n"/>
      <c r="C16" s="63" t="n"/>
      <c r="D16" s="64" t="n"/>
    </row>
    <row r="17" ht="18" customHeight="1">
      <c r="A17" s="49" t="inlineStr">
        <is>
          <t>Electricity, utilities and office maintenance</t>
        </is>
      </c>
      <c r="B17" s="33" t="n"/>
      <c r="C17" s="63" t="n"/>
      <c r="D17" s="64" t="n"/>
    </row>
    <row r="18" ht="18" customHeight="1">
      <c r="A18" s="49" t="inlineStr">
        <is>
          <t>Printing, stationery and postage</t>
        </is>
      </c>
      <c r="B18" s="33" t="n"/>
      <c r="C18" s="63" t="n"/>
      <c r="D18" s="64" t="n"/>
    </row>
    <row r="19" ht="18" customHeight="1">
      <c r="A19" s="49" t="inlineStr">
        <is>
          <t>Telephone, mobile and internet</t>
        </is>
      </c>
      <c r="B19" s="33" t="n"/>
      <c r="C19" s="63" t="n"/>
      <c r="D19" s="64" t="n"/>
    </row>
    <row r="20" ht="18" customHeight="1">
      <c r="A20" s="49" t="inlineStr">
        <is>
          <t>Travel, conveyance and vehicle running — admin</t>
        </is>
      </c>
      <c r="B20" s="33" t="n"/>
      <c r="C20" s="63" t="n"/>
      <c r="D20" s="64" t="n"/>
    </row>
    <row r="21" ht="18" customHeight="1">
      <c r="A21" s="49" t="inlineStr">
        <is>
          <t>Repair and maintenance — office</t>
        </is>
      </c>
      <c r="B21" s="33" t="n"/>
      <c r="C21" s="63" t="n"/>
      <c r="D21" s="64" t="n"/>
    </row>
    <row r="22" ht="18" customHeight="1">
      <c r="A22" s="49" t="inlineStr">
        <is>
          <t>Legal, professional and consultancy fees</t>
        </is>
      </c>
      <c r="B22" s="33" t="n"/>
      <c r="C22" s="63" t="n"/>
      <c r="D22" s="64" t="n"/>
    </row>
    <row r="23" ht="18" customHeight="1">
      <c r="A23" s="49" t="inlineStr">
        <is>
          <t>Audit fee (statutory)</t>
        </is>
      </c>
      <c r="B23" s="33" t="n"/>
      <c r="C23" s="63" t="n"/>
      <c r="D23" s="64" t="n"/>
    </row>
    <row r="24" ht="18" customHeight="1">
      <c r="A24" s="49" t="inlineStr">
        <is>
          <t>Audit fee (other / certifications)</t>
        </is>
      </c>
      <c r="B24" s="33" t="n"/>
      <c r="C24" s="63" t="n"/>
      <c r="D24" s="64" t="n"/>
    </row>
    <row r="25" ht="18" customHeight="1">
      <c r="A25" s="49" t="inlineStr">
        <is>
          <t>Insurance — office / general</t>
        </is>
      </c>
      <c r="B25" s="33" t="n"/>
      <c r="C25" s="63" t="n"/>
      <c r="D25" s="64" t="n"/>
    </row>
    <row r="26" ht="18" customHeight="1">
      <c r="A26" s="49" t="inlineStr">
        <is>
          <t>AGM, Board and secretarial expenses</t>
        </is>
      </c>
      <c r="B26" s="33" t="n"/>
      <c r="C26" s="63" t="n"/>
      <c r="D26" s="64" t="n"/>
    </row>
    <row r="27" ht="18" customHeight="1">
      <c r="A27" s="49" t="inlineStr">
        <is>
          <t>Bank charges (non-finance)</t>
        </is>
      </c>
      <c r="B27" s="33" t="n"/>
      <c r="C27" s="63" t="n"/>
      <c r="D27" s="64" t="n"/>
    </row>
    <row r="28" ht="18" customHeight="1">
      <c r="A28" s="49" t="inlineStr">
        <is>
          <t>Entertainment and office refreshment</t>
        </is>
      </c>
      <c r="B28" s="33" t="n"/>
      <c r="C28" s="63" t="n"/>
      <c r="D28" s="64" t="n"/>
    </row>
    <row r="29" ht="18" customHeight="1">
      <c r="A29" s="49" t="inlineStr">
        <is>
          <t>IT, software and computer maintenance</t>
        </is>
      </c>
      <c r="B29" s="33" t="n"/>
      <c r="C29" s="63" t="n"/>
      <c r="D29" s="64" t="n"/>
    </row>
    <row r="30" ht="18" customHeight="1">
      <c r="A30" s="49" t="inlineStr">
        <is>
          <t>Depreciation — administrative (link PPE I30)</t>
        </is>
      </c>
      <c r="B30" s="33" t="n"/>
      <c r="C30" s="50">
        <f>'12_PPE_Schedule'!I30</f>
        <v/>
      </c>
      <c r="D30" s="64" t="n"/>
    </row>
    <row r="31" ht="18" customHeight="1">
      <c r="A31" s="49" t="inlineStr">
        <is>
          <t>Amortisation of intangible / ROU (admin portion) (INK)</t>
        </is>
      </c>
      <c r="B31" s="33" t="n"/>
      <c r="C31" s="63" t="n"/>
      <c r="D31" s="64" t="n"/>
    </row>
    <row r="32" ht="18" customHeight="1">
      <c r="A32" s="49" t="inlineStr">
        <is>
          <t>CSR / donation (if any, allowable separately)</t>
        </is>
      </c>
      <c r="B32" s="33" t="n"/>
      <c r="C32" s="63" t="n"/>
      <c r="D32" s="64" t="n"/>
    </row>
    <row r="33" ht="18" customHeight="1">
      <c r="A33" s="49" t="inlineStr">
        <is>
          <t>Miscellaneous administrative expenses</t>
        </is>
      </c>
      <c r="B33" s="33" t="n"/>
      <c r="C33" s="63" t="n"/>
      <c r="D33" s="64" t="n"/>
    </row>
    <row r="34" ht="18" customHeight="1">
      <c r="A34" s="44" t="inlineStr">
        <is>
          <t>Total administrative expenses (to SOPL / Note 27)</t>
        </is>
      </c>
      <c r="B34" s="6" t="n"/>
      <c r="C34" s="55">
        <f>SUM(C11:C33)</f>
        <v/>
      </c>
      <c r="D34" s="55">
        <f>SUM(D11:D33)</f>
        <v/>
      </c>
    </row>
    <row r="35" ht="8" customHeight="1">
      <c r="A35" s="56" t="n"/>
      <c r="B35" s="57" t="n"/>
    </row>
    <row r="36" ht="22" customHeight="1">
      <c r="A36" s="44" t="inlineStr">
        <is>
          <t>B. Selling and distribution expenses</t>
        </is>
      </c>
      <c r="B36" s="45" t="n"/>
      <c r="C36" s="46" t="n"/>
      <c r="D36" s="46" t="n"/>
    </row>
    <row r="37" ht="18" customHeight="1">
      <c r="A37" s="49" t="inlineStr">
        <is>
          <t>Salaries, wages and allowances — sales &amp; distribution</t>
        </is>
      </c>
      <c r="B37" s="33" t="n"/>
      <c r="C37" s="63" t="n"/>
      <c r="D37" s="64" t="n"/>
    </row>
    <row r="38" ht="18" customHeight="1">
      <c r="A38" s="49" t="inlineStr">
        <is>
          <t>Festival bonus — sales</t>
        </is>
      </c>
      <c r="B38" s="33" t="n"/>
      <c r="C38" s="63" t="n"/>
      <c r="D38" s="64" t="n"/>
    </row>
    <row r="39" ht="18" customHeight="1">
      <c r="A39" s="49" t="inlineStr">
        <is>
          <t>Provident fund / gratuity — sales</t>
        </is>
      </c>
      <c r="B39" s="33" t="n"/>
      <c r="C39" s="63" t="n"/>
      <c r="D39" s="64" t="n"/>
    </row>
    <row r="40" ht="18" customHeight="1">
      <c r="A40" s="49" t="inlineStr">
        <is>
          <t>Depot and warehouse rent</t>
        </is>
      </c>
      <c r="B40" s="33" t="n"/>
      <c r="C40" s="63" t="n"/>
      <c r="D40" s="64" t="n"/>
    </row>
    <row r="41" ht="18" customHeight="1">
      <c r="A41" s="49" t="inlineStr">
        <is>
          <t>Carriage outward / distribution and handling</t>
        </is>
      </c>
      <c r="B41" s="33" t="n"/>
      <c r="C41" s="63" t="n"/>
      <c r="D41" s="64" t="n"/>
    </row>
    <row r="42" ht="18" customHeight="1">
      <c r="A42" s="49" t="inlineStr">
        <is>
          <t>Promotional expenses, campaign and literature</t>
        </is>
      </c>
      <c r="B42" s="33" t="n"/>
      <c r="C42" s="63" t="n"/>
      <c r="D42" s="64" t="n"/>
    </row>
    <row r="43" ht="18" customHeight="1">
      <c r="A43" s="49" t="inlineStr">
        <is>
          <t>Physician samples (at cost)</t>
        </is>
      </c>
      <c r="B43" s="33" t="n"/>
      <c r="C43" s="63" t="n"/>
      <c r="D43" s="64" t="n"/>
    </row>
    <row r="44" ht="18" customHeight="1">
      <c r="A44" s="49" t="inlineStr">
        <is>
          <t>Product registration, DAM and regulatory fees</t>
        </is>
      </c>
      <c r="B44" s="33" t="n"/>
      <c r="C44" s="63" t="n"/>
      <c r="D44" s="64" t="n"/>
    </row>
    <row r="45" ht="18" customHeight="1">
      <c r="A45" s="49" t="inlineStr">
        <is>
          <t>Travel, conveyance and TA/DA — field force</t>
        </is>
      </c>
      <c r="B45" s="33" t="n"/>
      <c r="C45" s="63" t="n"/>
      <c r="D45" s="64" t="n"/>
    </row>
    <row r="46" ht="18" customHeight="1">
      <c r="A46" s="49" t="inlineStr">
        <is>
          <t>Vehicle running — sales</t>
        </is>
      </c>
      <c r="B46" s="33" t="n"/>
      <c r="C46" s="63" t="n"/>
      <c r="D46" s="64" t="n"/>
    </row>
    <row r="47" ht="18" customHeight="1">
      <c r="A47" s="49" t="inlineStr">
        <is>
          <t>Incentive, commission and bonus to field force</t>
        </is>
      </c>
      <c r="B47" s="33" t="n"/>
      <c r="C47" s="63" t="n"/>
      <c r="D47" s="64" t="n"/>
    </row>
    <row r="48" ht="18" customHeight="1">
      <c r="A48" s="49" t="inlineStr">
        <is>
          <t>Advertisement and market research</t>
        </is>
      </c>
      <c r="B48" s="33" t="n"/>
      <c r="C48" s="63" t="n"/>
      <c r="D48" s="64" t="n"/>
    </row>
    <row r="49" ht="18" customHeight="1">
      <c r="A49" s="49" t="inlineStr">
        <is>
          <t>Insurance — goods in transit / depot</t>
        </is>
      </c>
      <c r="B49" s="33" t="n"/>
      <c r="C49" s="63" t="n"/>
      <c r="D49" s="64" t="n"/>
    </row>
    <row r="50" ht="18" customHeight="1">
      <c r="A50" s="49" t="inlineStr">
        <is>
          <t>Depreciation — selling (link PPE I31)</t>
        </is>
      </c>
      <c r="B50" s="33" t="n"/>
      <c r="C50" s="50">
        <f>'12_PPE_Schedule'!I31</f>
        <v/>
      </c>
      <c r="D50" s="64" t="n"/>
    </row>
    <row r="51" ht="18" customHeight="1">
      <c r="A51" s="49" t="inlineStr">
        <is>
          <t>Bad debts / expected credit loss (INK)</t>
        </is>
      </c>
      <c r="B51" s="33" t="n"/>
      <c r="C51" s="63" t="n"/>
      <c r="D51" s="64" t="n"/>
    </row>
    <row r="52" ht="18" customHeight="1">
      <c r="A52" s="49" t="inlineStr">
        <is>
          <t>Miscellaneous selling and distribution expenses</t>
        </is>
      </c>
      <c r="B52" s="33" t="n"/>
      <c r="C52" s="63" t="n"/>
      <c r="D52" s="64" t="n"/>
    </row>
    <row r="53" ht="18" customHeight="1">
      <c r="A53" s="44" t="inlineStr">
        <is>
          <t>Total selling &amp; distribution expenses (to SOPL / Note 28)</t>
        </is>
      </c>
      <c r="B53" s="6" t="n"/>
      <c r="C53" s="55">
        <f>SUM(C37:C52)</f>
        <v/>
      </c>
      <c r="D53" s="55">
        <f>SUM(D37:D52)</f>
        <v/>
      </c>
    </row>
  </sheetData>
  <mergeCells count="6">
    <mergeCell ref="A1:D1"/>
    <mergeCell ref="A5:D5"/>
    <mergeCell ref="A8:D8"/>
    <mergeCell ref="A6:D6"/>
    <mergeCell ref="A4:D4"/>
    <mergeCell ref="A2:D2"/>
  </mergeCells>
  <pageMargins left="0.5" right="0.5" top="0.7" bottom="0.7" header="0.3" footer="0.3"/>
  <pageSetup orientation="portrait" paperSize="9" fitToHeight="0" fitToWidth="1"/>
  <headerFooter>
    <oddHeader>&amp;LRahman Anis &amp; Co._x000a_Chartered Accountants&amp;RModern Pharmaceuticals Limited_x000a_Year ended 30 June 2026</oddHeader>
    <oddFooter>&amp;LConfidential — Statutory audit working / FS pack&amp;CPage &amp;P of &amp;N&amp;RAdmin &amp; selling</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tabColor rgb="001B365D"/>
    <outlinePr summaryBelow="1" summaryRight="1"/>
    <pageSetUpPr fitToPage="1"/>
  </sheetPr>
  <dimension ref="A1:D47"/>
  <sheetViews>
    <sheetView showGridLines="0" zoomScale="100" workbookViewId="0">
      <selection activeCell="A1" sqref="A1"/>
    </sheetView>
  </sheetViews>
  <sheetFormatPr baseColWidth="8" defaultRowHeight="15"/>
  <cols>
    <col width="56" customWidth="1" min="1" max="1"/>
    <col width="12" customWidth="1" min="2" max="2"/>
    <col width="22" customWidth="1" min="3" max="3"/>
    <col width="24" customWidth="1" min="4" max="4"/>
  </cols>
  <sheetData>
    <row r="1" ht="22" customHeight="1">
      <c r="A1" s="1" t="inlineStr">
        <is>
          <t>RAHMAN ANIS &amp; CO.</t>
        </is>
      </c>
    </row>
    <row r="2" ht="16" customHeight="1">
      <c r="A2" s="3" t="inlineStr">
        <is>
          <t>Chartered Accountants</t>
        </is>
      </c>
    </row>
    <row r="3" ht="8" customHeight="1"/>
    <row r="4" ht="20" customHeight="1">
      <c r="A4" s="30" t="inlineStr">
        <is>
          <t>Modern Pharmaceuticals Limited</t>
        </is>
      </c>
    </row>
    <row r="5" ht="18" customHeight="1">
      <c r="A5" s="2" t="inlineStr">
        <is>
          <t>Annexure D — WPPF, current tax and deferred tax workings</t>
        </is>
      </c>
    </row>
    <row r="6" ht="16" customHeight="1">
      <c r="A6" s="31" t="inlineStr">
        <is>
          <t>For the year ended 30 June 2026</t>
        </is>
      </c>
    </row>
    <row r="7" ht="6" customHeight="1">
      <c r="A7" s="32" t="n"/>
      <c r="B7" s="32" t="n"/>
      <c r="C7" s="32" t="n"/>
      <c r="D7" s="32" t="n"/>
    </row>
    <row r="8">
      <c r="A8" s="41" t="inlineStr">
        <is>
          <t>Colour key:  YELLOW = 30 June 2026 INK (type amount)    BLUE = 30 June 2025 last year audited comparative    GREEN = auto formula (do not type)</t>
        </is>
      </c>
    </row>
    <row r="9" ht="42" customHeight="1">
      <c r="A9" s="6" t="inlineStr">
        <is>
          <t>Particulars</t>
        </is>
      </c>
      <c r="B9" s="6" t="inlineStr">
        <is>
          <t>Notes</t>
        </is>
      </c>
      <c r="C9" s="42" t="inlineStr">
        <is>
          <t>30 June 2026
Taka
(INK — fill)</t>
        </is>
      </c>
      <c r="D9" s="43" t="inlineStr">
        <is>
          <t>30 June 2025
Taka
(Last year audited)</t>
        </is>
      </c>
    </row>
    <row r="10" ht="22" customHeight="1">
      <c r="A10" s="44" t="inlineStr">
        <is>
          <t>A. Workers' Profit Participation Fund (Bangladesh Labour Act)</t>
        </is>
      </c>
      <c r="B10" s="45" t="n"/>
      <c r="C10" s="46" t="n"/>
      <c r="D10" s="46" t="n"/>
    </row>
    <row r="11" ht="18" customHeight="1">
      <c r="A11" s="49" t="inlineStr">
        <is>
          <t>Profit before WPPF and tax (auto from SOPL)</t>
        </is>
      </c>
      <c r="B11" s="33" t="n"/>
      <c r="C11" s="50">
        <f>05_SOPL!C19</f>
        <v/>
      </c>
      <c r="D11" s="50">
        <f>05_SOPL!D19</f>
        <v/>
      </c>
    </row>
    <row r="12" ht="18" customHeight="1">
      <c r="A12" s="49" t="inlineStr">
        <is>
          <t>WPPF @ 5% of profit before WPPF &amp; tax  [P × 5/105]  (formula)</t>
        </is>
      </c>
      <c r="B12" s="33" t="n"/>
      <c r="C12" s="50">
        <f>IF(C11=0,"",C11*5/105)</f>
        <v/>
      </c>
      <c r="D12" s="50">
        <f>IF(D11=0,"",D11*5/105)</f>
        <v/>
      </c>
    </row>
    <row r="13" ht="18" customHeight="1">
      <c r="A13" s="49" t="inlineStr">
        <is>
          <t>WPPF charged in P&amp;L — override if different (else leave blank; Note 31 uses calc)</t>
        </is>
      </c>
      <c r="B13" s="33" t="n"/>
      <c r="C13" s="63" t="n"/>
      <c r="D13" s="64" t="n"/>
    </row>
    <row r="14" ht="18" customHeight="1">
      <c r="A14" s="52" t="inlineStr">
        <is>
          <t>WPPF used in statements (override if given, else formula)</t>
        </is>
      </c>
      <c r="B14" s="53" t="n"/>
      <c r="C14" s="54">
        <f>IF(C13="",C12,C13)</f>
        <v/>
      </c>
      <c r="D14" s="54">
        <f>IF(D13="",D12,D13)</f>
        <v/>
      </c>
    </row>
    <row r="15" ht="8" customHeight="1">
      <c r="A15" s="56" t="n"/>
      <c r="B15" s="57" t="n"/>
    </row>
    <row r="16" ht="22" customHeight="1">
      <c r="A16" s="44" t="inlineStr">
        <is>
          <t>B. Current tax (Income Tax Act 2023 — confirm rate with tax file)</t>
        </is>
      </c>
      <c r="B16" s="45" t="n"/>
      <c r="C16" s="46" t="n"/>
      <c r="D16" s="46" t="n"/>
    </row>
    <row r="17" ht="18" customHeight="1">
      <c r="A17" s="49" t="inlineStr">
        <is>
          <t>Accounting profit before tax (auto from SOPL)</t>
        </is>
      </c>
      <c r="B17" s="33" t="n"/>
      <c r="C17" s="51">
        <f>05_SOPL!C21</f>
        <v/>
      </c>
      <c r="D17" s="51">
        <f>05_SOPL!D21</f>
        <v/>
      </c>
    </row>
    <row r="18" ht="18" customHeight="1">
      <c r="A18" s="49" t="inlineStr">
        <is>
          <t>Add: Inadmissible expenses / accounting dep (INK)</t>
        </is>
      </c>
      <c r="B18" s="33" t="n"/>
      <c r="C18" s="63" t="n"/>
      <c r="D18" s="64" t="n"/>
    </row>
    <row r="19" ht="18" customHeight="1">
      <c r="A19" s="49" t="inlineStr">
        <is>
          <t>Less: Admissible deductions / tax depreciation (INK)</t>
        </is>
      </c>
      <c r="B19" s="33" t="n"/>
      <c r="C19" s="63" t="n"/>
      <c r="D19" s="64" t="n"/>
    </row>
    <row r="20" ht="18" customHeight="1">
      <c r="A20" s="52" t="inlineStr">
        <is>
          <t>Taxable income</t>
        </is>
      </c>
      <c r="B20" s="53" t="n"/>
      <c r="C20" s="54">
        <f>C17+C18-C19</f>
        <v/>
      </c>
      <c r="D20" s="54">
        <f>D17+D18-D19</f>
        <v/>
      </c>
    </row>
    <row r="21" ht="18" customHeight="1">
      <c r="A21" s="49" t="inlineStr">
        <is>
          <t>Corporate tax rate % (e.g. 20 / 22.5 / 27.5 — INK)</t>
        </is>
      </c>
      <c r="B21" s="33" t="n"/>
      <c r="C21" s="90" t="n"/>
      <c r="D21" s="91" t="n"/>
    </row>
    <row r="22" ht="18" customHeight="1">
      <c r="A22" s="49" t="inlineStr">
        <is>
          <t>Current tax on taxable income (formula)</t>
        </is>
      </c>
      <c r="B22" s="33" t="n"/>
      <c r="C22" s="50">
        <f>C20*C21</f>
        <v/>
      </c>
      <c r="D22" s="50">
        <f>D20*D21</f>
        <v/>
      </c>
    </row>
    <row r="23" ht="18" customHeight="1">
      <c r="A23" s="49" t="inlineStr">
        <is>
          <t>Minimum / turnover tax if applicable (INK)</t>
        </is>
      </c>
      <c r="B23" s="33" t="n"/>
      <c r="C23" s="63" t="n"/>
      <c r="D23" s="64" t="n"/>
    </row>
    <row r="24" ht="18" customHeight="1">
      <c r="A24" s="49" t="inlineStr">
        <is>
          <t>Prior year (over)/under provision (INK)</t>
        </is>
      </c>
      <c r="B24" s="33" t="n"/>
      <c r="C24" s="63" t="n"/>
      <c r="D24" s="64" t="n"/>
    </row>
    <row r="25" ht="18" customHeight="1">
      <c r="A25" s="44" t="inlineStr">
        <is>
          <t>Current tax expense used in P&amp;L (max of calculated, min tax) + prior</t>
        </is>
      </c>
      <c r="B25" s="6" t="n"/>
      <c r="C25" s="55">
        <f>MAX(C22,C23)+C24</f>
        <v/>
      </c>
      <c r="D25" s="55">
        <f>MAX(D22,D23)+D24</f>
        <v/>
      </c>
    </row>
    <row r="26" ht="8" customHeight="1">
      <c r="A26" s="56" t="n"/>
      <c r="B26" s="57" t="n"/>
    </row>
    <row r="27" ht="22" customHeight="1">
      <c r="A27" s="44" t="inlineStr">
        <is>
          <t>C. Deferred tax (IAS 12) — simplified temporary difference</t>
        </is>
      </c>
      <c r="B27" s="45" t="n"/>
      <c r="C27" s="46" t="n"/>
      <c r="D27" s="46" t="n"/>
    </row>
    <row r="28" ht="18" customHeight="1">
      <c r="A28" s="49" t="inlineStr">
        <is>
          <t>Tax base of PPE (INK — tax WDV)</t>
        </is>
      </c>
      <c r="B28" s="33" t="n"/>
      <c r="C28" s="63" t="n"/>
      <c r="D28" s="64" t="n"/>
    </row>
    <row r="29" ht="18" customHeight="1">
      <c r="A29" s="49" t="inlineStr">
        <is>
          <t>Carrying amount of PPE (auto from PPE schedule)</t>
        </is>
      </c>
      <c r="B29" s="33" t="n"/>
      <c r="C29" s="50">
        <f>'12_PPE_Schedule'!J25</f>
        <v/>
      </c>
      <c r="D29" s="50">
        <f>'12_PPE_Schedule'!J26</f>
        <v/>
      </c>
    </row>
    <row r="30" ht="18" customHeight="1">
      <c r="A30" s="52" t="inlineStr">
        <is>
          <t>Taxable / (deductible) temporary difference — PPE</t>
        </is>
      </c>
      <c r="B30" s="53" t="n"/>
      <c r="C30" s="54">
        <f>C29-C28</f>
        <v/>
      </c>
      <c r="D30" s="54">
        <f>D29-D28</f>
        <v/>
      </c>
    </row>
    <row r="31" ht="18" customHeight="1">
      <c r="A31" s="49" t="inlineStr">
        <is>
          <t>Other taxable / (deductible) temporary differences (INK)</t>
        </is>
      </c>
      <c r="B31" s="33" t="n"/>
      <c r="C31" s="63" t="n"/>
      <c r="D31" s="64" t="n"/>
    </row>
    <row r="32" ht="18" customHeight="1">
      <c r="A32" s="52" t="inlineStr">
        <is>
          <t>Net temporary difference</t>
        </is>
      </c>
      <c r="B32" s="53" t="n"/>
      <c r="C32" s="54">
        <f>C30+C31</f>
        <v/>
      </c>
      <c r="D32" s="54">
        <f>D30+D31</f>
        <v/>
      </c>
    </row>
    <row r="33" ht="18" customHeight="1">
      <c r="A33" s="49" t="inlineStr">
        <is>
          <t>Deferred tax rate % (INK)</t>
        </is>
      </c>
      <c r="B33" s="33" t="n"/>
      <c r="C33" s="90" t="n"/>
      <c r="D33" s="91" t="n"/>
    </row>
    <row r="34" ht="18" customHeight="1">
      <c r="A34" s="52" t="inlineStr">
        <is>
          <t>Deferred tax liability / (asset) at year end</t>
        </is>
      </c>
      <c r="B34" s="53" t="n"/>
      <c r="C34" s="54">
        <f>C32*C33</f>
        <v/>
      </c>
      <c r="D34" s="54">
        <f>D32*D33</f>
        <v/>
      </c>
    </row>
    <row r="35" ht="18" customHeight="1">
      <c r="A35" s="44" t="inlineStr">
        <is>
          <t>Deferred tax expense / (income) for the year</t>
        </is>
      </c>
      <c r="B35" s="6" t="n"/>
      <c r="C35" s="55">
        <f>C34-D34</f>
        <v/>
      </c>
      <c r="D35" s="55" t="inlineStr">
        <is>
          <t>0</t>
        </is>
      </c>
    </row>
    <row r="36" ht="8" customHeight="1">
      <c r="A36" s="56" t="n"/>
      <c r="B36" s="57" t="n"/>
    </row>
    <row r="37" ht="22" customHeight="1">
      <c r="A37" s="44" t="inlineStr">
        <is>
          <t>D. Provision for income tax — movement (Note 22)</t>
        </is>
      </c>
      <c r="B37" s="45" t="n"/>
      <c r="C37" s="46" t="n"/>
      <c r="D37" s="46" t="n"/>
    </row>
    <row r="38" ht="18" customHeight="1">
      <c r="A38" s="49" t="inlineStr">
        <is>
          <t>Opening provision (last year audited)</t>
        </is>
      </c>
      <c r="B38" s="33" t="n"/>
      <c r="C38" s="64" t="n"/>
      <c r="D38" s="64" t="n"/>
    </row>
    <row r="39" ht="18" customHeight="1">
      <c r="A39" s="49" t="inlineStr">
        <is>
          <t>Add: Current tax expense (auto)</t>
        </is>
      </c>
      <c r="B39" s="33" t="n"/>
      <c r="C39" s="50">
        <f>C25</f>
        <v/>
      </c>
      <c r="D39" s="50">
        <f>D25</f>
        <v/>
      </c>
    </row>
    <row r="40" ht="18" customHeight="1">
      <c r="A40" s="49" t="inlineStr">
        <is>
          <t>Less: Paid / adjusted with AIT during the year (INK)</t>
        </is>
      </c>
      <c r="B40" s="33" t="n"/>
      <c r="C40" s="63" t="n"/>
      <c r="D40" s="64" t="n"/>
    </row>
    <row r="41" ht="18" customHeight="1">
      <c r="A41" s="44" t="inlineStr">
        <is>
          <t>Closing provision for income tax (to SOFP Note 22)</t>
        </is>
      </c>
      <c r="B41" s="6" t="n"/>
      <c r="C41" s="55">
        <f>C38+C39-C40</f>
        <v/>
      </c>
      <c r="D41" s="55">
        <f>D38+D39-D40</f>
        <v/>
      </c>
    </row>
    <row r="42" ht="8" customHeight="1">
      <c r="A42" s="56" t="n"/>
      <c r="B42" s="57" t="n"/>
    </row>
    <row r="43" ht="22" customHeight="1">
      <c r="A43" s="44" t="inlineStr">
        <is>
          <t>E. WPPF liability movement (Note 23)</t>
        </is>
      </c>
      <c r="B43" s="45" t="n"/>
      <c r="C43" s="46" t="n"/>
      <c r="D43" s="46" t="n"/>
    </row>
    <row r="44" ht="18" customHeight="1">
      <c r="A44" s="49" t="inlineStr">
        <is>
          <t>Opening WPPF payable (last year audited)</t>
        </is>
      </c>
      <c r="B44" s="33" t="n"/>
      <c r="C44" s="64" t="n"/>
      <c r="D44" s="64" t="n"/>
    </row>
    <row r="45" ht="18" customHeight="1">
      <c r="A45" s="49" t="inlineStr">
        <is>
          <t>Add: Contribution for the year (auto)</t>
        </is>
      </c>
      <c r="B45" s="33" t="n"/>
      <c r="C45" s="50">
        <f>C14</f>
        <v/>
      </c>
      <c r="D45" s="50">
        <f>D14</f>
        <v/>
      </c>
    </row>
    <row r="46" ht="18" customHeight="1">
      <c r="A46" s="49" t="inlineStr">
        <is>
          <t>Less: Paid during the year (INK)</t>
        </is>
      </c>
      <c r="B46" s="33" t="n"/>
      <c r="C46" s="63" t="n"/>
      <c r="D46" s="64" t="n"/>
    </row>
    <row r="47" ht="18" customHeight="1">
      <c r="A47" s="44" t="inlineStr">
        <is>
          <t>Closing WPPF payable (to SOFP Note 23)</t>
        </is>
      </c>
      <c r="B47" s="6" t="n"/>
      <c r="C47" s="55">
        <f>C44+C45-C46</f>
        <v/>
      </c>
      <c r="D47" s="55">
        <f>D44+D45-D46</f>
        <v/>
      </c>
    </row>
  </sheetData>
  <mergeCells count="6">
    <mergeCell ref="A1:D1"/>
    <mergeCell ref="A5:D5"/>
    <mergeCell ref="A8:D8"/>
    <mergeCell ref="A6:D6"/>
    <mergeCell ref="A4:D4"/>
    <mergeCell ref="A2:D2"/>
  </mergeCells>
  <pageMargins left="0.5" right="0.5" top="0.7" bottom="0.7" header="0.3" footer="0.3"/>
  <pageSetup orientation="portrait" paperSize="9" fitToHeight="0" fitToWidth="1"/>
  <headerFooter>
    <oddHeader>&amp;LRahman Anis &amp; Co._x000a_Chartered Accountants&amp;RModern Pharmaceuticals Limited_x000a_Year ended 30 June 2026</oddHeader>
    <oddFooter>&amp;LConfidential — Statutory audit working / FS pack&amp;CPage &amp;P of &amp;N&amp;RTax &amp; WPPF</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tabColor rgb="001B365D"/>
    <outlinePr summaryBelow="1" summaryRight="1"/>
    <pageSetUpPr fitToPage="1"/>
  </sheetPr>
  <dimension ref="A1:D27"/>
  <sheetViews>
    <sheetView showGridLines="0" zoomScale="100" workbookViewId="0">
      <selection activeCell="A1" sqref="A1"/>
    </sheetView>
  </sheetViews>
  <sheetFormatPr baseColWidth="8" defaultRowHeight="15"/>
  <cols>
    <col width="64" customWidth="1" min="1" max="1"/>
    <col width="22" customWidth="1" min="2" max="2"/>
    <col width="22" customWidth="1" min="3" max="3"/>
    <col width="40" customWidth="1" min="4" max="4"/>
  </cols>
  <sheetData>
    <row r="1" ht="22" customHeight="1">
      <c r="A1" s="1" t="inlineStr">
        <is>
          <t>RAHMAN ANIS &amp; CO.</t>
        </is>
      </c>
    </row>
    <row r="2" ht="16" customHeight="1">
      <c r="A2" s="3" t="inlineStr">
        <is>
          <t>Chartered Accountants</t>
        </is>
      </c>
    </row>
    <row r="3" ht="8" customHeight="1"/>
    <row r="4" ht="20" customHeight="1">
      <c r="A4" s="30" t="inlineStr">
        <is>
          <t>Modern Pharmaceuticals Limited</t>
        </is>
      </c>
    </row>
    <row r="5" ht="18" customHeight="1">
      <c r="A5" s="2" t="inlineStr">
        <is>
          <t>Control sheet — balance checks (all differences MUST be NIL before sign-off)</t>
        </is>
      </c>
    </row>
    <row r="6" ht="16" customHeight="1">
      <c r="A6" s="31" t="inlineStr">
        <is>
          <t>Year ended 30 June 2026</t>
        </is>
      </c>
    </row>
    <row r="7" ht="6" customHeight="1">
      <c r="A7" s="32" t="n"/>
      <c r="B7" s="32" t="n"/>
      <c r="C7" s="32" t="n"/>
      <c r="D7" s="32" t="n"/>
    </row>
    <row r="9" ht="28" customHeight="1">
      <c r="A9" s="6" t="inlineStr">
        <is>
          <t>Check</t>
        </is>
      </c>
      <c r="B9" s="6" t="inlineStr">
        <is>
          <t>30 June 2026</t>
        </is>
      </c>
      <c r="C9" s="6" t="inlineStr">
        <is>
          <t>30 June 2025</t>
        </is>
      </c>
      <c r="D9" s="6" t="inlineStr">
        <is>
          <t>What to do if not NIL</t>
        </is>
      </c>
    </row>
    <row r="10">
      <c r="A10" s="13" t="inlineStr">
        <is>
          <t>SOFP: Assets − Equity &amp; liabilities</t>
        </is>
      </c>
      <c r="B10" s="92">
        <f>04_SOFP!C57</f>
        <v/>
      </c>
      <c r="C10" s="92">
        <f>04_SOFP!D57</f>
        <v/>
      </c>
      <c r="D10" s="93" t="inlineStr">
        <is>
          <t>Post missing line or correct note total</t>
        </is>
      </c>
    </row>
    <row r="11">
      <c r="A11" s="13" t="inlineStr">
        <is>
          <t>SOCIE total equity vs SOFP total equity</t>
        </is>
      </c>
      <c r="B11" s="92">
        <f>06_SOCIE!F21-04_SOFP!C37</f>
        <v/>
      </c>
      <c r="C11" s="92">
        <f>06_SOCIE!F14-04_SOFP!D37</f>
        <v/>
      </c>
      <c r="D11" s="93" t="inlineStr">
        <is>
          <t>Share capital / RE / premium mismatch vs Notes 14–15</t>
        </is>
      </c>
    </row>
    <row r="12">
      <c r="A12" s="13" t="inlineStr">
        <is>
          <t>SOCIE share capital vs Note 14 paid-up</t>
        </is>
      </c>
      <c r="B12" s="92">
        <f>06_SOCIE!B21-'09_Notes_SOFP'!C72</f>
        <v/>
      </c>
      <c r="C12" s="92">
        <f>06_SOCIE!B14-'09_Notes_SOFP'!D72</f>
        <v/>
      </c>
      <c r="D12" s="93" t="inlineStr">
        <is>
          <t>Put paid-up capital in Note 14 AND SOCIE row 10/19</t>
        </is>
      </c>
    </row>
    <row r="13">
      <c r="A13" s="13" t="inlineStr">
        <is>
          <t>Cash flow closing cash vs SOFP cash</t>
        </is>
      </c>
      <c r="B13" s="92">
        <f>07_SOCF!C54</f>
        <v/>
      </c>
      <c r="C13" s="92">
        <f>07_SOCF!D54</f>
        <v/>
      </c>
      <c r="D13" s="93" t="inlineStr">
        <is>
          <t>Fill tax paid / capex / loan movement inks on SOCF</t>
        </is>
      </c>
    </row>
    <row r="14">
      <c r="A14" s="13" t="inlineStr">
        <is>
          <t>PPE dep allocation vs charge</t>
        </is>
      </c>
      <c r="B14" s="92">
        <f>'12_PPE_Schedule'!I33</f>
        <v/>
      </c>
      <c r="C14" s="94" t="inlineStr">
        <is>
          <t>n/a</t>
        </is>
      </c>
      <c r="D14" s="93" t="inlineStr">
        <is>
          <t>I29+I30+I31 must equal J20</t>
        </is>
      </c>
    </row>
    <row r="15">
      <c r="A15" s="13" t="inlineStr">
        <is>
          <t>Inventory note vs COGS closings (RM+PK+WIP+FG)</t>
        </is>
      </c>
      <c r="B15" s="92">
        <f>'09_Notes_SOFP'!C30+'09_Notes_SOFP'!C31+'09_Notes_SOFP'!C32+'09_Notes_SOFP'!C33-'09_Notes_SOFP'!C38</f>
        <v/>
      </c>
      <c r="C15" s="92">
        <f>'09_Notes_SOFP'!D30+'09_Notes_SOFP'!D31+'09_Notes_SOFP'!D32+'09_Notes_SOFP'!D33-'09_Notes_SOFP'!D38</f>
        <v/>
      </c>
      <c r="D15" s="93" t="inlineStr">
        <is>
          <t>Use same closing stocks in Annexure B and Note 9</t>
        </is>
      </c>
    </row>
    <row r="16">
      <c r="A16" s="13" t="inlineStr">
        <is>
          <t>PAT in SOPL vs SOCIE current year</t>
        </is>
      </c>
      <c r="B16" s="92">
        <f>05_SOPL!C23-06_SOCIE!E17</f>
        <v/>
      </c>
      <c r="C16" s="92">
        <f>05_SOPL!D23-06_SOCIE!E11</f>
        <v/>
      </c>
      <c r="D16" s="93" t="inlineStr">
        <is>
          <t>Should be auto-linked; check if SOCIE overwritten</t>
        </is>
      </c>
    </row>
    <row r="17">
      <c r="A17" s="13" t="inlineStr">
        <is>
          <t>WPPF P&amp;L vs Annexure D</t>
        </is>
      </c>
      <c r="B17" s="92">
        <f>05_SOPL!C20-'15_Tax_WPPF'!C14</f>
        <v/>
      </c>
      <c r="C17" s="92">
        <f>05_SOPL!D20-'15_Tax_WPPF'!D14</f>
        <v/>
      </c>
      <c r="D17" s="93" t="inlineStr">
        <is>
          <t>Should be auto-linked</t>
        </is>
      </c>
    </row>
    <row r="18">
      <c r="A18" s="13" t="inlineStr">
        <is>
          <t>Current tax P&amp;L vs Annexure D</t>
        </is>
      </c>
      <c r="B18" s="92">
        <f>'10_Notes_PL'!C40-'15_Tax_WPPF'!C25</f>
        <v/>
      </c>
      <c r="C18" s="92">
        <f>'10_Notes_PL'!D40-'15_Tax_WPPF'!D25</f>
        <v/>
      </c>
      <c r="D18" s="93" t="inlineStr">
        <is>
          <t>Should be auto-linked</t>
        </is>
      </c>
    </row>
    <row r="21" ht="24" customHeight="1">
      <c r="A21" t="inlineStr">
        <is>
          <t>Status</t>
        </is>
      </c>
      <c r="B21" s="95">
        <f>IF(AND(ABS(B10)&lt;0.5,ABS(B11)&lt;0.5,ABS(B12)&lt;0.5,ABS(B13)&lt;0.5,ABS(B14)&lt;0.5,ABS(B16)&lt;0.5,ABS(B17)&lt;0.5,ABS(B18)&lt;0.5),"READY FOR PARTNER REVIEW","OPEN DIFFERENCES — DO NOT SIGN")</f>
        <v/>
      </c>
    </row>
    <row r="23">
      <c r="A23" s="35" t="inlineStr">
        <is>
          <t>Completion reminder (Bangla)</t>
        </is>
      </c>
    </row>
    <row r="24">
      <c r="A24" s="5" t="inlineStr">
        <is>
          <t>2026 YELLOW cells-e current year amount boshan. 2025 BLUE cells-e last year audited figure boshan. Last year PDF ei session-e paowa jay nai — tai BLUE column khali. PDF dile ami BLUE column fill kore updated Excel dite parbo. Green cells formula — overwrite korben na. 16_Balance_Check NIL hole 03_Auditors_Report e date/DVC/partner boshan, then print.</t>
        </is>
      </c>
    </row>
    <row r="25"/>
    <row r="26"/>
    <row r="27"/>
  </sheetData>
  <mergeCells count="7">
    <mergeCell ref="A1:D1"/>
    <mergeCell ref="A5:D5"/>
    <mergeCell ref="A6:D6"/>
    <mergeCell ref="A4:D4"/>
    <mergeCell ref="B21:D21"/>
    <mergeCell ref="A2:D2"/>
    <mergeCell ref="A24:D27"/>
  </mergeCells>
  <pageMargins left="0.5" right="0.5" top="0.7" bottom="0.7" header="0.3" footer="0.3"/>
  <pageSetup orientation="portrait" paperSize="9" fitToHeight="0" fitToWidth="1"/>
  <headerFooter>
    <oddHeader>&amp;LRahman Anis &amp; Co._x000a_Chartered Accountants&amp;RModern Pharmaceuticals Limited_x000a_Year ended 30 June 2026</oddHeader>
    <oddFooter>&amp;LConfidential — Statutory audit working / FS pack&amp;CPage &amp;P of &amp;N&amp;RBalance check</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Rahman Anis &amp; Co. working pack (DhakaFin draft)</dc:creator>
  <dc:title>Modern Pharmaceuticals Limited — FS YE 30 June 2026</dc:title>
  <dc:subject>Statutory audit financial statements pack — 2026 INK, 2025 last year comparative</dc:subject>
  <dcterms:created xsi:type="dcterms:W3CDTF">2026-09-22T06:04:28Z</dcterms:created>
  <dcterms:modified xsi:type="dcterms:W3CDTF">2026-09-22T06:04:28Z</dcterms:modified>
</cp:coreProperties>
</file>